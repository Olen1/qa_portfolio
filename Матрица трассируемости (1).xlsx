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Desktop\Тестирование\Новая папка\10 ПЗ\"/>
    </mc:Choice>
  </mc:AlternateContent>
  <xr:revisionPtr revIDLastSave="0" documentId="13_ncr:1_{600E2000-FE3D-4DBB-A8AC-30F2E37BEF9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Структура стандартной МТТ с авт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4" l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X4" i="4"/>
  <c r="Y4" i="4"/>
  <c r="Z4" i="4"/>
  <c r="AA4" i="4"/>
  <c r="T4" i="4"/>
  <c r="U4" i="4"/>
  <c r="V4" i="4"/>
  <c r="W4" i="4"/>
  <c r="S4" i="4"/>
  <c r="R4" i="4"/>
  <c r="Q4" i="4"/>
  <c r="P4" i="4"/>
  <c r="O4" i="4"/>
  <c r="N4" i="4"/>
  <c r="M4" i="4"/>
  <c r="L4" i="4"/>
  <c r="K4" i="4"/>
  <c r="J4" i="4"/>
  <c r="I4" i="4"/>
  <c r="G4" i="4"/>
  <c r="H4" i="4"/>
  <c r="F4" i="4"/>
  <c r="E4" i="4"/>
  <c r="D5" i="4"/>
  <c r="AA97" i="4"/>
</calcChain>
</file>

<file path=xl/sharedStrings.xml><?xml version="1.0" encoding="utf-8"?>
<sst xmlns="http://schemas.openxmlformats.org/spreadsheetml/2006/main" count="462" uniqueCount="282">
  <si>
    <t>№</t>
  </si>
  <si>
    <t>ТК</t>
  </si>
  <si>
    <t>МАТРИЦА ТРАССИРУЕМОСТИ ТРЕБОВАНИЙ</t>
  </si>
  <si>
    <t>Требования</t>
  </si>
  <si>
    <t>Общее количество:</t>
  </si>
  <si>
    <t>Связи (покрытие):</t>
  </si>
  <si>
    <t>Х</t>
  </si>
  <si>
    <t>Проверка функции создания записи в роли Администратора (категория ФЛ=представитель РОИВ)</t>
  </si>
  <si>
    <t>Проверка функции создания записи в модуле "Физические лица" в роли Сотрудника отдела (категория ФЛ=представитель РОИВ)</t>
  </si>
  <si>
    <t>Проверка функции создания записи в модуле "Физические лица" в роли Сотрудника отдела (категория ФЛ=сотрудник)</t>
  </si>
  <si>
    <t>Проверка функции создания записи в модуле в роли Администратора (валидные значения)</t>
  </si>
  <si>
    <t>Проверка функции создания записи в модуле в роли Оператора колл-центра (валидные знаяения)</t>
  </si>
  <si>
    <t>Проверка функции редактирования собственной записи (роль=Оператор колл-центра)</t>
  </si>
  <si>
    <t>Проверка функции редактирования собственной записи  (роль=Сотрудник отдела)</t>
  </si>
  <si>
    <t>Проверка функции редактирования чужой записи в модуле "Физические лица" (роль - Оператор колл-центра)</t>
  </si>
  <si>
    <t>Создвние нового уникального ЛК</t>
  </si>
  <si>
    <t>Создание нового ЛК с дубликатом ФИО</t>
  </si>
  <si>
    <t>Создание нового ЛК с дубликатом ФИО, телефоном и эл. почтой</t>
  </si>
  <si>
    <t>Создание нового ЛК с дубликатом ФИО, телефоном и эл. почтой, датой рождения</t>
  </si>
  <si>
    <t>Обновление данных в имеющемся ЛК</t>
  </si>
  <si>
    <t>Создание нового ЛК с повторяющимся ФИО, телефоном</t>
  </si>
  <si>
    <t>Создание нового ЛК с повторяющимися ФИО, эл. почтой</t>
  </si>
  <si>
    <t>Создание нового ЛК с повторяющимися ФИО, датой рождения</t>
  </si>
  <si>
    <t xml:space="preserve"> Взять обращение в работу и заполнить решение (роль=администратор)</t>
  </si>
  <si>
    <t>Обращение создано, решение не заполнено, состояние открыто, ответственный не назначен (роль=администратор)</t>
  </si>
  <si>
    <t>Взять обращение в работу без заполнения решения (роль=оператор колл-центра)</t>
  </si>
  <si>
    <t>Взять обращение в работу и заполнить решение (роль=оператор колл-центра)</t>
  </si>
  <si>
    <t xml:space="preserve"> Обращение создано, решение заполнено, состояние закрыто, ответственный назначен (роль=оператор колл-центрта)</t>
  </si>
  <si>
    <t xml:space="preserve"> Обращение создано, решение не заполнено, состояние открыто , ответственный назначен (роль=оператор колл-центра)</t>
  </si>
  <si>
    <t xml:space="preserve"> Обращение создано, решение не заполнено, состояние открыто, ответственный не назначен (роль=оператор колл-центра)</t>
  </si>
  <si>
    <t xml:space="preserve">Взять обращение в работу без заполнения решения (роль=сотрудник отдела) </t>
  </si>
  <si>
    <t>Взять обращение в работу и заполнить решение (роль=сотрудник отдела)</t>
  </si>
  <si>
    <t xml:space="preserve">Обращение создано, решение заполнено, состояние закрыто, ответственный назначен (роль=сотрудник отдела) </t>
  </si>
  <si>
    <t xml:space="preserve">Обращение создано, решение заполнено, состояние закрыто, ответственный назначен (роль=администратор) </t>
  </si>
  <si>
    <t xml:space="preserve">Обращение создано, решение не заполнено, состояние открыто , ответственный назначен (роль=сотрудник отдела) </t>
  </si>
  <si>
    <t>Обращение создано, решение не заполнено, состояние открыто , ответственный назначен (роль=администратор)</t>
  </si>
  <si>
    <t>Обращение создано, решение не заполнено, состояние открыто, ответственный не назначен (роль=сотрудник отдела)</t>
  </si>
  <si>
    <t>Создать обращение без заполнения решения (роль=администратор)</t>
  </si>
  <si>
    <t>Создать обращение с заполнением решения (роль=администратор)</t>
  </si>
  <si>
    <t xml:space="preserve"> Создать обращение без заполнения решения (роль=оператор колл-центра.</t>
  </si>
  <si>
    <t>Создать обращение с заполнением решения (роль=оператор колл-центра)</t>
  </si>
  <si>
    <t>Создать обращение без заполнения решения (роль=сотрудник отдела)</t>
  </si>
  <si>
    <t xml:space="preserve"> Создать обращение с заполнением решения (роль=сотрудник отдела) </t>
  </si>
  <si>
    <t xml:space="preserve">Назначить пользователя ответственным по обращению (роль=администратор) </t>
  </si>
  <si>
    <t xml:space="preserve"> Назначить текущего пользователя ответственным по обращению (роль=администратор) </t>
  </si>
  <si>
    <t xml:space="preserve"> Назначить пользователя ответственным по обращению (роль=оператор колл-центра) </t>
  </si>
  <si>
    <t xml:space="preserve">Назначить текущего пользователя ответственным по обращению (роль=опертаор кол-центра) </t>
  </si>
  <si>
    <t xml:space="preserve"> Назначить пользователя ответственным по обращению (роль=сотрудник отдела) </t>
  </si>
  <si>
    <t xml:space="preserve">Назначить текущего пользователя ответственным по обращению (роль=сотрудник отдела) </t>
  </si>
  <si>
    <t>Расчет веса обращения с высоким приоритетом</t>
  </si>
  <si>
    <t>Расчет веса обращения с низким приоритетом</t>
  </si>
  <si>
    <t>Расчет веса обращения со средним приоритето</t>
  </si>
  <si>
    <t>Расчет крайнего срока обработки обращения (воскресенье), при условии, что понедельник - праздничный день</t>
  </si>
  <si>
    <t>Расчет крайнего срока обработки обращения (воскресенье), при условии, что понедельник - рабочий день</t>
  </si>
  <si>
    <t>Расчет крайнего срока обработки обращения (праздничный день)</t>
  </si>
  <si>
    <t>Расчет крайнего срока обработки обращения (рабочий день)</t>
  </si>
  <si>
    <t>Расчет крайнего срока обработки обращения (суббота), при условии, что понедельник - праздничный день</t>
  </si>
  <si>
    <t>Расчет крайнего срока обработки обращения (суббота), при условии, что понедельник - рабочий день</t>
  </si>
  <si>
    <t>Проверка функции просмотра реестра записей в модуле "Физические лица"  (роль=Администратор)</t>
  </si>
  <si>
    <t>Проверка функции просмотра реестра записей в модуле "Физические лица" (роль=Опреатор колл-центра)</t>
  </si>
  <si>
    <t>Проверка функции просмотра реестра записей в модуле "Физические лица" (роль=Сотрудник отдела)</t>
  </si>
  <si>
    <t>Проверка функции просмотра отдельной записи в модуле "Физические лица" (роль = Администратор)</t>
  </si>
  <si>
    <t xml:space="preserve">Проверка функции просмотра отдельной записи в модуле "Физические лица" (роль = Оператор колл-центра) </t>
  </si>
  <si>
    <t>Проверка функции просмотра отдельной записи в модуле "Физическме лица" (роль = Сотрудник отдела)</t>
  </si>
  <si>
    <t>Проверка функции создания записи в роли Администратора в модуле "Физические лица" (категория ФЛ=сотрудник)</t>
  </si>
  <si>
    <t>Проверка функции создания записи в роли Оператора колл-центра в модуле "Физические лица" (категория ФЛ=представитель РОИВ)</t>
  </si>
  <si>
    <t>Проверка функции создания записи в роли Оператора колл-центра в модуле "Физические лица" (категория ФЛ=сотрудник)</t>
  </si>
  <si>
    <t>Проверка функции создания записи в модуле "Физические лица" в роли Администратора (невалидные значения)</t>
  </si>
  <si>
    <t>Проверка функции создания записи в модуле "Физические лица" в роли Оператора колл-центра (валидные знаяения)</t>
  </si>
  <si>
    <t>Проверка функции создания записи в модуле "Физические лица" в роли Оператора колл-центра (невалидные значения)</t>
  </si>
  <si>
    <t>Проверка функции создания записи в модуле "Физические лица" в роли Сотрудника отдела (валидные значения)</t>
  </si>
  <si>
    <t>Проверка функции создания записи в модуле "Физические лица" в роли Сотрудника отдела (невалидные значения)</t>
  </si>
  <si>
    <t>Проверка функции редактирования собственной записи в модуле "Физические лица"  (роль=Сотрудник отдела)</t>
  </si>
  <si>
    <t>Проверка функции редактирования чужой записи в модуле "Физические лица"  (роль - Сотрудник отдела)</t>
  </si>
  <si>
    <t>Проверка функции удаления записи в модуле "Физические лица" в роли Администратора</t>
  </si>
  <si>
    <t>Проверка функции редактирования записи в модуле "Физические лица" в роли Администратора (валидные значения)</t>
  </si>
  <si>
    <t>Проверка функции редактирования записи в модуле "Физические лица" в роли Администратора (невалидные значения)</t>
  </si>
  <si>
    <t>Проверка функции редактирования записи в модуле "Физические лица" через кнопку слева от записи в роли Администратора</t>
  </si>
  <si>
    <t>Проверка функции редактирования записи в модуле "Физические лица" через кнопку слева от записи в роли Оператора колл-центра</t>
  </si>
  <si>
    <t>Проверка функции редактирования записи в модуле  "Физические лица" через кнопку слева от записи в роли Сотрудник отдела</t>
  </si>
  <si>
    <t>Проверка функции просмотра реестра записей в модуле "Предпретие" (роль=Администратор)</t>
  </si>
  <si>
    <t>Проверка функции просмотра реестра записей в модуле "Предпретие"(роль=Опреатор колл-центра)</t>
  </si>
  <si>
    <t>Проверка функции просмотра реестра записей в модуле "Предпретие" (роль=Сотрудник отдела)</t>
  </si>
  <si>
    <t>Проверка функции просмотра отдельной записи в модуле "Предпретие" (роль = Администратор)</t>
  </si>
  <si>
    <t xml:space="preserve">Проверка функции просмотра отдельной записи в модуле "Предпретие" (роль = Оператор колл-центра) </t>
  </si>
  <si>
    <t>Проверка функции просмотра отдельной записи в модуле "Предпретие" (роль = Сотрудник отдела)</t>
  </si>
  <si>
    <t xml:space="preserve">Проверка функции создания нового ЮЛ с внешнего портала в модуле "Предпретие" (роль=Администратор) </t>
  </si>
  <si>
    <t xml:space="preserve">Проверка функции создания нового ЮЛ с внешнего портала в модуле "Предпретие" (роль=Сотрудник отдела) </t>
  </si>
  <si>
    <t>Проверка функции создания нового ЮЛ с внешнего портала в модуле "Предпретие" (роль=Оператор колл-центра)</t>
  </si>
  <si>
    <t xml:space="preserve">Проверка функции создания нового ИП с внешнего портала в модуле "Предпретие" (роль=Администратор) </t>
  </si>
  <si>
    <t xml:space="preserve">Проверка функции создания нового ИП с внешнего портала в модуле "Предпретие" (роль=Сотрудник отдела) </t>
  </si>
  <si>
    <t xml:space="preserve">Проверка функции создания нового ИП с внешнего портала в модуле "Предпретие" (роль=Оператор колл-центра) </t>
  </si>
  <si>
    <t>Проверка функции создания записи в модуле "Предпретие" в роли Администратора (валидные значения)</t>
  </si>
  <si>
    <t>Проверка функции создания записи в модуле "Предпретие" в роли Администратора (невалидные значения)</t>
  </si>
  <si>
    <t>Проверка функции создания записи в модуле "Предпретие" в роли Оператора колл-центра (невалидные значения)</t>
  </si>
  <si>
    <t>Проверка функции создания записи в модуле "Предпретие" в роли Сотрудника отдела (валидные значения)</t>
  </si>
  <si>
    <t>Проверка функции создания записи в модуле "Предпретие" в роли Сотрудника отдела (невалидные значения)</t>
  </si>
  <si>
    <t>Проверка функции редактирования чужой записи (роль - Оператор колл-центра) в модуле "Предпретие"</t>
  </si>
  <si>
    <t>Проверка функции удаления записи в модуле "Предпретие" в роли Администратора</t>
  </si>
  <si>
    <t>Проверка функции редактирования записи в модуле "Предпретие" в роли Администратора (валидные значения)</t>
  </si>
  <si>
    <t>Проверка функции редактирования записи в модуле "Предпретие" в роли Администратора (невалидные значения)</t>
  </si>
  <si>
    <t>Проверка функции редактирования записи в модуле "Предпретие" через кнопку слева от записи в роли Администратора</t>
  </si>
  <si>
    <t>Проверка функции редактирования записи в модуле "Предпретие" через кнопку слева от записи в роли Оператора колл-центра</t>
  </si>
  <si>
    <t>Проверка функции редактирования записи в модуле "Предпретие" через кнопку слева от записи в роли Сотрудник отдела</t>
  </si>
  <si>
    <t>Проверка функции редактирования собственной записи (роль=Оператор колл-центра) в модуле "Предпретие"</t>
  </si>
  <si>
    <t>4.2.2.3.1.</t>
  </si>
  <si>
    <t xml:space="preserve">В системе должна быть возможность создания и редактирования карточки клиента Физического лица. </t>
  </si>
  <si>
    <t>Необходимо осуществлять валидацию данных</t>
  </si>
  <si>
    <t xml:space="preserve">4.2.2.3.2.	</t>
  </si>
  <si>
    <t>В системе должен быть механизм миграции данных клиентов посредством загрузки csv-файла</t>
  </si>
  <si>
    <t xml:space="preserve">4.2.2.3.3.	</t>
  </si>
  <si>
    <t xml:space="preserve">Должен быть механизм поиска клиентов по набору параметров </t>
  </si>
  <si>
    <t xml:space="preserve">4.2.2.3.4.	</t>
  </si>
  <si>
    <t xml:space="preserve">В системе должен быть реализован механизм связывания клиентов ФЛ и ЮЛ между собой двусторонней связью (Сотрудник – Работодатель) </t>
  </si>
  <si>
    <t xml:space="preserve">4.2.2.3.5.	</t>
  </si>
  <si>
    <t>Должен быть механизм двусторонней синхронизации данных по клиентам с Порталом</t>
  </si>
  <si>
    <t xml:space="preserve">4.2.2.3.6.	</t>
  </si>
  <si>
    <t>Должен быть механизм синхронизации с Подсистемой совместной работы по ключевым событиям клиента</t>
  </si>
  <si>
    <t xml:space="preserve">4.2.2.3.7.	</t>
  </si>
  <si>
    <t xml:space="preserve">В системе должен сохраняться журнал изменений данных клиента. </t>
  </si>
  <si>
    <t xml:space="preserve">4.2.2.4.1.	</t>
  </si>
  <si>
    <t>В системе должен быть реализован механизм разграничения доступа к данным физического лица на основании роли пользователя</t>
  </si>
  <si>
    <t xml:space="preserve">4.2.2.5.1.	</t>
  </si>
  <si>
    <t>В системе должна быть возможность создания и редактирования карточки клиента Юридического лица. Для всех типов клиентов – ЮЛ предполагается один универсальный атрибутивный состав.</t>
  </si>
  <si>
    <t xml:space="preserve">4.2.1.3.1.	</t>
  </si>
  <si>
    <t xml:space="preserve">	Необходимо осуществлять валидацию данных: </t>
  </si>
  <si>
    <t>4.2.1.3.2.</t>
  </si>
  <si>
    <t xml:space="preserve">4.2.1.3.3.	</t>
  </si>
  <si>
    <t xml:space="preserve">	Должен быть механизм поиска клиентов по набору параметров </t>
  </si>
  <si>
    <t>4.2.1.3.4.</t>
  </si>
  <si>
    <t xml:space="preserve">4.2.1.3.5.	</t>
  </si>
  <si>
    <t xml:space="preserve">4.2.1.3.6.	</t>
  </si>
  <si>
    <t xml:space="preserve">4.2.1.4.1.	</t>
  </si>
  <si>
    <t>В системе должен быть реализован механизм разграничения доступа к данным юридического лица на основании роли пользователя</t>
  </si>
  <si>
    <t xml:space="preserve">4.2.1.5.1.	</t>
  </si>
  <si>
    <t>Должна быть реализована карточка обращения с универсальным набором атрибутов (для всех типов одинаковая)</t>
  </si>
  <si>
    <t xml:space="preserve">4.2.3.3.1.	</t>
  </si>
  <si>
    <t>Должна быть возможность редактирования обращения</t>
  </si>
  <si>
    <t xml:space="preserve">4.2.3.3.2.	</t>
  </si>
  <si>
    <t>Должен быть реализован механизм валидации введённых в обращение данных</t>
  </si>
  <si>
    <t xml:space="preserve">4.2.3.3.3.	</t>
  </si>
  <si>
    <t xml:space="preserve">	Обращению должен присваиваться уникальный идентификационный номер</t>
  </si>
  <si>
    <t>4.2.3.3.4.</t>
  </si>
  <si>
    <t>Должна быть возможность поиска обращений по номеру</t>
  </si>
  <si>
    <t xml:space="preserve">4.2.3.3.5.	</t>
  </si>
  <si>
    <t>Должен быть реализован справочник тематик обращений, состоящий из 3-х уровней. Уровни должны быть зависимы, то есть 1-ый уровень является родительским по отношению ко 2-ому уровню, а 2-ой уровень является родительским по отношению к 3-ему уровню</t>
  </si>
  <si>
    <t xml:space="preserve">4.2.3.3.6.	</t>
  </si>
  <si>
    <t xml:space="preserve">Справочник тематик должен администрироваться бизнес-администратором системы </t>
  </si>
  <si>
    <t>4.2.3.3.7.</t>
  </si>
  <si>
    <t>Должна быть реализована связь клиента ЮЛ и ФЛ с обращением</t>
  </si>
  <si>
    <t xml:space="preserve">4.2.3.3.8.	</t>
  </si>
  <si>
    <t>Должна быть возможность просматривать обращения из карточки клиента ФЛ и ЮЛ:</t>
  </si>
  <si>
    <t xml:space="preserve">4.2.3.3.9.	</t>
  </si>
  <si>
    <t>В системе должен сохраняться журнал изменений данных обращения.</t>
  </si>
  <si>
    <t xml:space="preserve">4.2.3.4.1.	</t>
  </si>
  <si>
    <t>Должна быть реализована очередь обработки обращений, с возможностью сортировки (например, по приоритету)</t>
  </si>
  <si>
    <t xml:space="preserve">4.2.3.5.1.	</t>
  </si>
  <si>
    <t>Должна быть функция взятия в работу обращения из очереди. После того, как сотрудник взял обращение в работу, другой сотрудник с теми же полномочиями не может обрабатывать это же обращение</t>
  </si>
  <si>
    <t xml:space="preserve">4.2.3.5.2.	</t>
  </si>
  <si>
    <t>Должна быть возможность задавать ответственных лиц/группу лиц по тематикам обращений</t>
  </si>
  <si>
    <t xml:space="preserve">4.2.3.5.3.	</t>
  </si>
  <si>
    <t>Должна быть возможность указывать контрольные сроки обработки по тематикам обращений.</t>
  </si>
  <si>
    <t xml:space="preserve">4.2.3.6.1.	</t>
  </si>
  <si>
    <t>По истечению сроков обработки система должна оповещать ответственных людей/руководителей по электронной почте.</t>
  </si>
  <si>
    <t xml:space="preserve">4.2.3.6.2.	</t>
  </si>
  <si>
    <t>Сроки по обработке каждого типа обращения должны настраиваться бизнес-администратором системы.</t>
  </si>
  <si>
    <t xml:space="preserve">4.2.3.6.3.	</t>
  </si>
  <si>
    <t>Должна быть возможность указания сроков для каждого этапа работы с обращением.</t>
  </si>
  <si>
    <t xml:space="preserve">4.2.3.6.4.	</t>
  </si>
  <si>
    <t>У каждого ответственного должна быть информация о заканчивающихся в скором времени по сроку обработки обращениях.</t>
  </si>
  <si>
    <t xml:space="preserve">4.2.3.6.5.	</t>
  </si>
  <si>
    <t>В системе должны быть реализованы уведомления клиентам:</t>
  </si>
  <si>
    <t xml:space="preserve">4.2.3.6.6.	</t>
  </si>
  <si>
    <t>Должна быть реализована входящая интеграция с Порталом и ЛК в части автоматического создания обращений</t>
  </si>
  <si>
    <t xml:space="preserve">4.2.3.7.1.	</t>
  </si>
  <si>
    <t>Должна быть реализована исходящая интеграция с личным кабинетом портала в части обновления статуса обращений</t>
  </si>
  <si>
    <t xml:space="preserve">4.2.3.7.2.	</t>
  </si>
  <si>
    <t>Должна быть реализована интеграция с общим почтовым ящиком в части автоматического создания обращений</t>
  </si>
  <si>
    <t xml:space="preserve">4.2.3.7.3.	</t>
  </si>
  <si>
    <t xml:space="preserve">	При автоматическом создании обращения из любого источника подсистема должна осуществлять поиск клиента по заданным критериям:</t>
  </si>
  <si>
    <t>4.2.3.7.4.</t>
  </si>
  <si>
    <t xml:space="preserve">	Подсистема должна выполнить автоматическое создание обращения в том случае, если его формат будет соответствовать требуемому:</t>
  </si>
  <si>
    <t>4.2.3.7.5.</t>
  </si>
  <si>
    <t xml:space="preserve">В системе должна быть возможность создания и редактирования записей (правил) администрирования обращений. </t>
  </si>
  <si>
    <t xml:space="preserve">4.2.6.3.1.	</t>
  </si>
  <si>
    <t>Необходимый атрибутивный состав:
1)	Описание,
2)	Тип,
3)	Подтип,
4)	Тема,
5)	Приоритет,
6)	Группа ответственных,
7)	Группа, которой доступен просмотр,
8)	Базовый вес обращения,
9)	Интервал обработки в днях,
10)	Ответственный за контроль срока обработки обращений.</t>
  </si>
  <si>
    <t xml:space="preserve">4.2.6.3.2.	</t>
  </si>
  <si>
    <t>В системе должен быть реализован механизм поиска подходящего правила для обращения при его сохранении по сочетанию Типа-Подтипа-Темы обращения.</t>
  </si>
  <si>
    <t xml:space="preserve">В системе должен сохраняться журнал изменений данных правил администрирования обращений. </t>
  </si>
  <si>
    <t xml:space="preserve">4.2.6.4.1.	</t>
  </si>
  <si>
    <t>В системе должен быть реализован механизм разграничения доступа к данным правил администрирования обращений на основании роли пользователя</t>
  </si>
  <si>
    <t xml:space="preserve">4.2.6.5.1.	</t>
  </si>
  <si>
    <t>Должен быть механизм синхронизации с Внешним порталом по получению данных по личным кабинетам пользователей, созданных на Внешнем портале.</t>
  </si>
  <si>
    <t>4.2.10.3.</t>
  </si>
  <si>
    <t>В системе должна быть возможность просмотра данных по личным кабинетам пользователей, созданных на Внешнем портале.</t>
  </si>
  <si>
    <t xml:space="preserve">4.2.10.4.	</t>
  </si>
  <si>
    <t>В системе должен быть реализован механизм разграничения доступа к данным по личным кабинетам пользователей, созданных на Внешнем портале, на основании роли пользователя.</t>
  </si>
  <si>
    <t xml:space="preserve">4.2.10.5.1.	</t>
  </si>
  <si>
    <t>FCKEDU-T5885</t>
  </si>
  <si>
    <t>FCKEDU-T5887</t>
  </si>
  <si>
    <t>FCKEDU-T5909</t>
  </si>
  <si>
    <t xml:space="preserve">FCKEDU-T5890 </t>
  </si>
  <si>
    <t>FCKEDU-T5928</t>
  </si>
  <si>
    <t>FCKEDU-T5930</t>
  </si>
  <si>
    <t>FCKEDU-T5929</t>
  </si>
  <si>
    <t>FCKEDU-T4878</t>
  </si>
  <si>
    <t>FCKEDU-T4930</t>
  </si>
  <si>
    <t>FCKEDU-T4926</t>
  </si>
  <si>
    <t>FCKEDU-T4933</t>
  </si>
  <si>
    <t>FCKEDU-T4928</t>
  </si>
  <si>
    <t>FCKEDU-T4929</t>
  </si>
  <si>
    <t>FCKEDU-T5891</t>
  </si>
  <si>
    <t>FCKEDU-T5888</t>
  </si>
  <si>
    <t xml:space="preserve">FCKEDU-T5889 </t>
  </si>
  <si>
    <t>FCKEDU-T4887</t>
  </si>
  <si>
    <t>FCKEDU-T4884</t>
  </si>
  <si>
    <t>FCKEDU-T5018</t>
  </si>
  <si>
    <t xml:space="preserve">FCKEDU-T5019 </t>
  </si>
  <si>
    <t>FCKEDU-T5020</t>
  </si>
  <si>
    <t>FCKEDU-T5936</t>
  </si>
  <si>
    <t>FCKEDU-T5937</t>
  </si>
  <si>
    <t>FCKEDU-T5938</t>
  </si>
  <si>
    <t>FCKEDU-T5933</t>
  </si>
  <si>
    <t xml:space="preserve">FCKEDU-T5934 </t>
  </si>
  <si>
    <t>FCKEDU-T5935</t>
  </si>
  <si>
    <t>FCKEDU-T5943</t>
  </si>
  <si>
    <t xml:space="preserve">FCKEDU-T5944 </t>
  </si>
  <si>
    <t>FCKEDU-T5947</t>
  </si>
  <si>
    <t xml:space="preserve">FCKEDU-T5946 </t>
  </si>
  <si>
    <t xml:space="preserve">FCKEDU-T5948 </t>
  </si>
  <si>
    <t>FCKEDU-T4904</t>
  </si>
  <si>
    <t>FCKEDU-T4948</t>
  </si>
  <si>
    <t xml:space="preserve">FCKEDU-T4946 </t>
  </si>
  <si>
    <t>FCKEDU-T4949</t>
  </si>
  <si>
    <t>FCKEDU-T4950</t>
  </si>
  <si>
    <t>FCKEDU-T4947</t>
  </si>
  <si>
    <t xml:space="preserve">FCKEDU-T5939 </t>
  </si>
  <si>
    <t>FCKEDU-T5940</t>
  </si>
  <si>
    <t>Проверка функции редактирования чужой записи в модуле "Предпретие" (роль - Сотрудник отдела)</t>
  </si>
  <si>
    <t>FCKEDU-T5941</t>
  </si>
  <si>
    <t>FCKEDU-T4913</t>
  </si>
  <si>
    <t>FCKEDU-T4910</t>
  </si>
  <si>
    <t>FCKEDU-T5011</t>
  </si>
  <si>
    <t>FCKEDU-T5010</t>
  </si>
  <si>
    <t>FCKEDU-T5016</t>
  </si>
  <si>
    <t>FCKEDU-T5017</t>
  </si>
  <si>
    <t>FCKEDU-T5939</t>
  </si>
  <si>
    <t xml:space="preserve">FCKEDU-T5589 </t>
  </si>
  <si>
    <t>FCKEDU-T5568</t>
  </si>
  <si>
    <t>FCKEDU-T5591</t>
  </si>
  <si>
    <t xml:space="preserve">FCKEDU-T5575 </t>
  </si>
  <si>
    <t>FCKEDU-T5572</t>
  </si>
  <si>
    <t>FCKEDU-T5569</t>
  </si>
  <si>
    <t>FCKEDU-T5594</t>
  </si>
  <si>
    <t>FCKEDU-T5571</t>
  </si>
  <si>
    <t xml:space="preserve">FCKEDU-T5576 </t>
  </si>
  <si>
    <t>FCKEDU-T5574</t>
  </si>
  <si>
    <t xml:space="preserve">FCKEDU-T5573 </t>
  </si>
  <si>
    <t xml:space="preserve">FCKEDU-T5570 </t>
  </si>
  <si>
    <t xml:space="preserve">FCKEDU-T5580 </t>
  </si>
  <si>
    <t>FCKEDU-T5578</t>
  </si>
  <si>
    <t xml:space="preserve">FCKEDU-T5577 </t>
  </si>
  <si>
    <t xml:space="preserve">FCKEDU-T5581 </t>
  </si>
  <si>
    <t xml:space="preserve">FCKEDU-T5582 </t>
  </si>
  <si>
    <t>FCKEDU-T5579</t>
  </si>
  <si>
    <t xml:space="preserve">FCKEDU-T5583 </t>
  </si>
  <si>
    <t>FCKEDU-T5588</t>
  </si>
  <si>
    <t>FCKEDU-T5585</t>
  </si>
  <si>
    <t xml:space="preserve">FCKEDU-T5586 </t>
  </si>
  <si>
    <t xml:space="preserve">FCKEDU-T5584 </t>
  </si>
  <si>
    <t>FCKEDU-T5587</t>
  </si>
  <si>
    <t xml:space="preserve">FCKEDU-T6413 </t>
  </si>
  <si>
    <t>FCKEDU-T6441</t>
  </si>
  <si>
    <t>FCKEDU-T6442</t>
  </si>
  <si>
    <t>FCKEDU-T6448</t>
  </si>
  <si>
    <t>FCKEDU-T6447</t>
  </si>
  <si>
    <t>FCKEDU-T6443</t>
  </si>
  <si>
    <t>FCKEDU-T6416</t>
  </si>
  <si>
    <t>FCKEDU-T6446</t>
  </si>
  <si>
    <t xml:space="preserve">Х </t>
  </si>
  <si>
    <t>х</t>
  </si>
  <si>
    <t xml:space="preserve">FCKEDU-T5886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</si>
</sst>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1" x14ac:knownFonts="1">
    <font>
      <sz val="10"/>
      <color rgb="FF000000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sz val="10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4" fillId="0" borderId="1" xfId="0" applyFont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0" borderId="1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0" fillId="0" borderId="0" xfId="0" applyFont="1" applyAlignment="1">
      <alignment textRotation="90"/>
    </xf>
    <xf numFmtId="0" fontId="4" fillId="0" borderId="2" xfId="0" applyFont="1" applyBorder="1"/>
    <xf numFmtId="0" fontId="0" fillId="0" borderId="3" xfId="0" applyFont="1" applyBorder="1" applyAlignment="1">
      <alignment textRotation="90"/>
    </xf>
    <xf numFmtId="0" fontId="0" fillId="0" borderId="3" xfId="0" applyFont="1" applyBorder="1" applyAlignment="1"/>
    <xf numFmtId="0" fontId="4" fillId="0" borderId="3" xfId="0" applyFont="1" applyBorder="1"/>
    <xf numFmtId="0" fontId="4" fillId="4" borderId="3" xfId="0" applyFont="1" applyFill="1" applyBorder="1"/>
    <xf numFmtId="0" fontId="4" fillId="5" borderId="3" xfId="0" applyFont="1" applyFill="1" applyBorder="1"/>
    <xf numFmtId="0" fontId="6" fillId="0" borderId="3" xfId="0" applyFont="1" applyBorder="1" applyAlignment="1">
      <alignment textRotation="90" wrapText="1"/>
    </xf>
    <xf numFmtId="0" fontId="6" fillId="0" borderId="3" xfId="0" applyFont="1" applyBorder="1"/>
    <xf numFmtId="0" fontId="7" fillId="0" borderId="3" xfId="0" applyFont="1" applyBorder="1" applyAlignment="1"/>
    <xf numFmtId="0" fontId="7" fillId="0" borderId="3" xfId="0" applyFont="1" applyBorder="1" applyAlignment="1">
      <alignment textRotation="90" wrapText="1"/>
    </xf>
    <xf numFmtId="0" fontId="6" fillId="7" borderId="3" xfId="0" applyFont="1" applyFill="1" applyBorder="1" applyAlignment="1">
      <alignment textRotation="90" wrapText="1"/>
    </xf>
    <xf numFmtId="0" fontId="7" fillId="7" borderId="3" xfId="0" applyFont="1" applyFill="1" applyBorder="1" applyAlignment="1">
      <alignment textRotation="90" wrapText="1"/>
    </xf>
    <xf numFmtId="0" fontId="10" fillId="7" borderId="3" xfId="0" applyFont="1" applyFill="1" applyBorder="1" applyAlignment="1">
      <alignment textRotation="90" wrapText="1"/>
    </xf>
    <xf numFmtId="0" fontId="9" fillId="0" borderId="4" xfId="0" applyFont="1" applyBorder="1" applyAlignment="1">
      <alignment vertical="center" wrapText="1"/>
    </xf>
    <xf numFmtId="0" fontId="4" fillId="4" borderId="2" xfId="0" applyFont="1" applyFill="1" applyBorder="1"/>
    <xf numFmtId="0" fontId="4" fillId="6" borderId="2" xfId="0" applyFont="1" applyFill="1" applyBorder="1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3" fillId="2" borderId="3" xfId="0" applyFont="1" applyFill="1" applyBorder="1" applyAlignment="1">
      <alignment textRotation="90"/>
    </xf>
    <xf numFmtId="0" fontId="4" fillId="0" borderId="3" xfId="0" applyFont="1" applyBorder="1" applyAlignment="1">
      <alignment textRotation="90" wrapText="1"/>
    </xf>
    <xf numFmtId="0" fontId="4" fillId="7" borderId="3" xfId="0" applyFont="1" applyFill="1" applyBorder="1" applyAlignment="1">
      <alignment textRotation="90" wrapText="1"/>
    </xf>
    <xf numFmtId="0" fontId="3" fillId="2" borderId="3" xfId="0" applyFont="1" applyFill="1" applyBorder="1" applyAlignment="1"/>
    <xf numFmtId="164" fontId="4" fillId="0" borderId="3" xfId="0" applyNumberFormat="1" applyFont="1" applyBorder="1" applyAlignment="1"/>
    <xf numFmtId="164" fontId="5" fillId="0" borderId="3" xfId="0" applyNumberFormat="1" applyFont="1" applyBorder="1" applyAlignment="1"/>
    <xf numFmtId="0" fontId="10" fillId="0" borderId="3" xfId="0" applyFont="1" applyBorder="1" applyAlignment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/>
    <xf numFmtId="0" fontId="3" fillId="4" borderId="3" xfId="0" applyFont="1" applyFill="1" applyBorder="1" applyAlignment="1"/>
    <xf numFmtId="0" fontId="4" fillId="4" borderId="3" xfId="0" applyFont="1" applyFill="1" applyBorder="1" applyAlignment="1"/>
    <xf numFmtId="0" fontId="3" fillId="5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/>
    <xf numFmtId="0" fontId="4" fillId="6" borderId="3" xfId="0" applyFont="1" applyFill="1" applyBorder="1"/>
    <xf numFmtId="0" fontId="4" fillId="0" borderId="3" xfId="0" applyFont="1" applyBorder="1" applyAlignment="1"/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N997"/>
  <sheetViews>
    <sheetView tabSelected="1" zoomScale="86" zoomScaleNormal="86" workbookViewId="0">
      <pane xSplit="1" topLeftCell="B1" activePane="topRight" state="frozen"/>
      <selection pane="topRight" activeCell="E7" sqref="E7"/>
    </sheetView>
  </sheetViews>
  <sheetFormatPr defaultColWidth="12.5703125" defaultRowHeight="15.75" customHeight="1" x14ac:dyDescent="0.2"/>
  <cols>
    <col min="1" max="1" width="34.42578125" customWidth="1"/>
    <col min="2" max="2" width="15.42578125" customWidth="1"/>
    <col min="3" max="3" width="5.28515625" customWidth="1"/>
    <col min="4" max="4" width="12.42578125" customWidth="1"/>
    <col min="5" max="5" width="10.7109375" customWidth="1"/>
    <col min="6" max="6" width="9.7109375" customWidth="1"/>
    <col min="7" max="7" width="8" customWidth="1"/>
    <col min="8" max="8" width="8.42578125" customWidth="1"/>
    <col min="9" max="9" width="13.85546875" customWidth="1"/>
    <col min="10" max="10" width="10.85546875" customWidth="1"/>
    <col min="11" max="11" width="8.28515625" customWidth="1"/>
    <col min="12" max="12" width="9.140625" customWidth="1"/>
    <col min="13" max="13" width="13.28515625" customWidth="1"/>
    <col min="14" max="14" width="15.5703125" customWidth="1"/>
    <col min="15" max="15" width="8.85546875" customWidth="1"/>
    <col min="17" max="17" width="9.5703125" customWidth="1"/>
    <col min="19" max="19" width="11.7109375" customWidth="1"/>
    <col min="20" max="20" width="8.7109375" customWidth="1"/>
    <col min="23" max="23" width="8" customWidth="1"/>
    <col min="26" max="26" width="10.28515625" customWidth="1"/>
    <col min="27" max="27" width="25.5703125" customWidth="1"/>
    <col min="33" max="33" width="22.28515625" customWidth="1"/>
    <col min="36" max="36" width="15" customWidth="1"/>
    <col min="38" max="38" width="11.28515625" customWidth="1"/>
    <col min="44" max="44" width="16.140625" customWidth="1"/>
    <col min="45" max="45" width="17.5703125" customWidth="1"/>
    <col min="46" max="46" width="15" customWidth="1"/>
    <col min="47" max="47" width="32.5703125" customWidth="1"/>
    <col min="53" max="53" width="15.7109375" customWidth="1"/>
  </cols>
  <sheetData>
    <row r="1" spans="1:92" ht="201" customHeight="1" x14ac:dyDescent="0.2">
      <c r="A1" s="27" t="s">
        <v>2</v>
      </c>
      <c r="B1" s="28"/>
      <c r="C1" s="28"/>
      <c r="D1" s="29" t="s">
        <v>3</v>
      </c>
      <c r="E1" s="30" t="s">
        <v>106</v>
      </c>
      <c r="F1" s="30" t="s">
        <v>107</v>
      </c>
      <c r="G1" s="31" t="s">
        <v>109</v>
      </c>
      <c r="H1" s="30" t="s">
        <v>111</v>
      </c>
      <c r="I1" s="31" t="s">
        <v>113</v>
      </c>
      <c r="J1" s="31" t="s">
        <v>115</v>
      </c>
      <c r="K1" s="31" t="s">
        <v>117</v>
      </c>
      <c r="L1" s="30" t="s">
        <v>119</v>
      </c>
      <c r="M1" s="30" t="s">
        <v>121</v>
      </c>
      <c r="N1" s="17" t="s">
        <v>123</v>
      </c>
      <c r="O1" s="17" t="s">
        <v>125</v>
      </c>
      <c r="P1" s="21" t="s">
        <v>109</v>
      </c>
      <c r="Q1" s="17" t="s">
        <v>128</v>
      </c>
      <c r="R1" s="21" t="s">
        <v>113</v>
      </c>
      <c r="S1" s="21" t="s">
        <v>115</v>
      </c>
      <c r="T1" s="17" t="s">
        <v>119</v>
      </c>
      <c r="U1" s="17" t="s">
        <v>133</v>
      </c>
      <c r="V1" s="17" t="s">
        <v>135</v>
      </c>
      <c r="W1" s="21" t="s">
        <v>137</v>
      </c>
      <c r="X1" s="21" t="s">
        <v>139</v>
      </c>
      <c r="Y1" s="21" t="s">
        <v>141</v>
      </c>
      <c r="Z1" s="21" t="s">
        <v>143</v>
      </c>
      <c r="AA1" s="22" t="s">
        <v>145</v>
      </c>
      <c r="AB1" s="22" t="s">
        <v>147</v>
      </c>
      <c r="AC1" s="22" t="s">
        <v>149</v>
      </c>
      <c r="AD1" s="22" t="s">
        <v>151</v>
      </c>
      <c r="AE1" s="22" t="s">
        <v>153</v>
      </c>
      <c r="AF1" s="20" t="s">
        <v>155</v>
      </c>
      <c r="AG1" s="20" t="s">
        <v>157</v>
      </c>
      <c r="AH1" s="22" t="s">
        <v>159</v>
      </c>
      <c r="AI1" s="20" t="s">
        <v>161</v>
      </c>
      <c r="AJ1" s="22" t="s">
        <v>163</v>
      </c>
      <c r="AK1" s="20" t="s">
        <v>165</v>
      </c>
      <c r="AL1" s="22" t="s">
        <v>167</v>
      </c>
      <c r="AM1" s="22" t="s">
        <v>169</v>
      </c>
      <c r="AN1" s="22" t="s">
        <v>171</v>
      </c>
      <c r="AO1" s="22" t="s">
        <v>173</v>
      </c>
      <c r="AP1" s="22" t="s">
        <v>175</v>
      </c>
      <c r="AQ1" s="22" t="s">
        <v>177</v>
      </c>
      <c r="AR1" s="22" t="s">
        <v>179</v>
      </c>
      <c r="AS1" s="22" t="s">
        <v>181</v>
      </c>
      <c r="AT1" s="20" t="s">
        <v>183</v>
      </c>
      <c r="AU1" s="20" t="s">
        <v>185</v>
      </c>
      <c r="AV1" s="20" t="s">
        <v>187</v>
      </c>
      <c r="AW1" s="22" t="s">
        <v>188</v>
      </c>
      <c r="AX1" s="23" t="s">
        <v>190</v>
      </c>
      <c r="AY1" s="20" t="s">
        <v>192</v>
      </c>
      <c r="AZ1" s="20" t="s">
        <v>194</v>
      </c>
      <c r="BA1" s="22" t="s">
        <v>196</v>
      </c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</row>
    <row r="2" spans="1:92" ht="12.75" x14ac:dyDescent="0.2">
      <c r="A2" s="28"/>
      <c r="B2" s="28"/>
      <c r="C2" s="28"/>
      <c r="D2" s="32" t="s">
        <v>0</v>
      </c>
      <c r="E2" s="33" t="s">
        <v>105</v>
      </c>
      <c r="F2" s="33" t="s">
        <v>108</v>
      </c>
      <c r="G2" s="33" t="s">
        <v>110</v>
      </c>
      <c r="H2" s="33" t="s">
        <v>112</v>
      </c>
      <c r="I2" s="33" t="s">
        <v>114</v>
      </c>
      <c r="J2" s="33" t="s">
        <v>116</v>
      </c>
      <c r="K2" s="33" t="s">
        <v>118</v>
      </c>
      <c r="L2" s="34" t="s">
        <v>120</v>
      </c>
      <c r="M2" s="34" t="s">
        <v>122</v>
      </c>
      <c r="N2" s="35" t="s">
        <v>124</v>
      </c>
      <c r="O2" s="18" t="s">
        <v>126</v>
      </c>
      <c r="P2" s="18" t="s">
        <v>127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134</v>
      </c>
      <c r="V2" s="18" t="s">
        <v>136</v>
      </c>
      <c r="W2" s="18" t="s">
        <v>138</v>
      </c>
      <c r="X2" s="18" t="s">
        <v>140</v>
      </c>
      <c r="Y2" s="18" t="s">
        <v>142</v>
      </c>
      <c r="Z2" s="18" t="s">
        <v>144</v>
      </c>
      <c r="AA2" s="19" t="s">
        <v>146</v>
      </c>
      <c r="AB2" s="13" t="s">
        <v>148</v>
      </c>
      <c r="AC2" s="19" t="s">
        <v>150</v>
      </c>
      <c r="AD2" s="19" t="s">
        <v>152</v>
      </c>
      <c r="AE2" s="19" t="s">
        <v>154</v>
      </c>
      <c r="AF2" s="19" t="s">
        <v>156</v>
      </c>
      <c r="AG2" s="19" t="s">
        <v>158</v>
      </c>
      <c r="AH2" s="19" t="s">
        <v>160</v>
      </c>
      <c r="AI2" s="19" t="s">
        <v>162</v>
      </c>
      <c r="AJ2" s="19" t="s">
        <v>164</v>
      </c>
      <c r="AK2" s="19" t="s">
        <v>166</v>
      </c>
      <c r="AL2" s="19" t="s">
        <v>168</v>
      </c>
      <c r="AM2" s="19" t="s">
        <v>170</v>
      </c>
      <c r="AN2" s="19" t="s">
        <v>172</v>
      </c>
      <c r="AO2" s="19" t="s">
        <v>174</v>
      </c>
      <c r="AP2" s="19" t="s">
        <v>176</v>
      </c>
      <c r="AQ2" s="19" t="s">
        <v>178</v>
      </c>
      <c r="AR2" s="19" t="s">
        <v>180</v>
      </c>
      <c r="AS2" s="19" t="s">
        <v>182</v>
      </c>
      <c r="AT2" s="19" t="s">
        <v>184</v>
      </c>
      <c r="AU2" s="19" t="s">
        <v>186</v>
      </c>
      <c r="AV2" s="13"/>
      <c r="AW2" s="19" t="s">
        <v>189</v>
      </c>
      <c r="AX2" s="19" t="s">
        <v>191</v>
      </c>
      <c r="AY2" s="13" t="s">
        <v>193</v>
      </c>
      <c r="AZ2" s="19" t="s">
        <v>195</v>
      </c>
      <c r="BA2" s="19" t="s">
        <v>197</v>
      </c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92" ht="12.75" x14ac:dyDescent="0.2">
      <c r="A3" s="36" t="s">
        <v>1</v>
      </c>
      <c r="B3" s="37" t="s">
        <v>0</v>
      </c>
      <c r="C3" s="38" t="s">
        <v>4</v>
      </c>
      <c r="D3" s="38"/>
      <c r="E3" s="39"/>
      <c r="F3" s="39"/>
      <c r="G3" s="39"/>
      <c r="H3" s="39"/>
      <c r="I3" s="39"/>
      <c r="J3" s="39"/>
      <c r="K3" s="39"/>
      <c r="L3" s="39"/>
      <c r="M3" s="39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</row>
    <row r="4" spans="1:92" ht="25.5" x14ac:dyDescent="0.2">
      <c r="A4" s="28"/>
      <c r="B4" s="28"/>
      <c r="C4" s="38"/>
      <c r="D4" s="40" t="s">
        <v>5</v>
      </c>
      <c r="E4" s="16">
        <f>COUNTA(E5:E103)</f>
        <v>21</v>
      </c>
      <c r="F4" s="16">
        <f>COUNTA(F5:F103)</f>
        <v>7</v>
      </c>
      <c r="G4" s="16">
        <f>COUNTA(G5:G103)</f>
        <v>0</v>
      </c>
      <c r="H4" s="16">
        <f>COUNTA(H5:H103)</f>
        <v>6</v>
      </c>
      <c r="I4" s="16">
        <f>COUNTA(I5:I103)</f>
        <v>6</v>
      </c>
      <c r="J4" s="16">
        <f>COUNTA(J5:J103)</f>
        <v>0</v>
      </c>
      <c r="K4" s="16">
        <f>COUNTA(K5:K103)</f>
        <v>0</v>
      </c>
      <c r="L4" s="16">
        <f>COUNTA(L5:L103)</f>
        <v>9</v>
      </c>
      <c r="M4" s="16">
        <f>COUNTA(M5:M103)</f>
        <v>5</v>
      </c>
      <c r="N4" s="16">
        <f>COUNTA(N5:N103)</f>
        <v>21</v>
      </c>
      <c r="O4" s="16">
        <f>COUNTA(O5:O103)</f>
        <v>8</v>
      </c>
      <c r="P4" s="16">
        <f>COUNTA(P5:P103)</f>
        <v>0</v>
      </c>
      <c r="Q4" s="16">
        <f>COUNTA(Q5:Q103)</f>
        <v>6</v>
      </c>
      <c r="R4" s="16">
        <f>COUNTA(R5:R103)</f>
        <v>0</v>
      </c>
      <c r="S4" s="16">
        <f>COUNTA(S5:S103)</f>
        <v>0</v>
      </c>
      <c r="T4" s="16">
        <f t="shared" ref="T4:W4" si="0">COUNTA(T5:T103)</f>
        <v>6</v>
      </c>
      <c r="U4" s="16">
        <f t="shared" si="0"/>
        <v>4</v>
      </c>
      <c r="V4" s="16">
        <f t="shared" si="0"/>
        <v>6</v>
      </c>
      <c r="W4" s="16">
        <f t="shared" si="0"/>
        <v>0</v>
      </c>
      <c r="X4" s="16">
        <f>COUNTA(X5:X103)</f>
        <v>0</v>
      </c>
      <c r="Y4" s="16">
        <f t="shared" ref="Y4" si="1">COUNTA(Y5:Y103)</f>
        <v>0</v>
      </c>
      <c r="Z4" s="16">
        <f t="shared" ref="Z4" si="2">COUNTA(Z5:Z103)</f>
        <v>0</v>
      </c>
      <c r="AA4" s="16">
        <f t="shared" ref="AA4" si="3">COUNTA(AA5:AA103)</f>
        <v>1</v>
      </c>
      <c r="AB4" s="16">
        <f t="shared" ref="AB4" si="4">COUNTA(AB5:AB103)</f>
        <v>0</v>
      </c>
      <c r="AC4" s="16">
        <f t="shared" ref="AC4" si="5">COUNTA(AC5:AC103)</f>
        <v>0</v>
      </c>
      <c r="AD4" s="16">
        <f t="shared" ref="AD4" si="6">COUNTA(AD5:AD103)</f>
        <v>0</v>
      </c>
      <c r="AE4" s="16">
        <f t="shared" ref="AE4" si="7">COUNTA(AE5:AE103)</f>
        <v>0</v>
      </c>
      <c r="AF4" s="16">
        <f t="shared" ref="AF4" si="8">COUNTA(AF5:AF103)</f>
        <v>3</v>
      </c>
      <c r="AG4" s="16">
        <f t="shared" ref="AG4" si="9">COUNTA(AG5:AG103)</f>
        <v>5</v>
      </c>
      <c r="AH4" s="16">
        <f t="shared" ref="AH4" si="10">COUNTA(AH5:AH103)</f>
        <v>0</v>
      </c>
      <c r="AI4" s="16">
        <f t="shared" ref="AI4" si="11">COUNTA(AI5:AI103)</f>
        <v>6</v>
      </c>
      <c r="AJ4" s="16">
        <f t="shared" ref="AJ4" si="12">COUNTA(AJ5:AJ103)</f>
        <v>0</v>
      </c>
      <c r="AK4" s="16">
        <f t="shared" ref="AK4" si="13">COUNTA(AK5:AK103)</f>
        <v>6</v>
      </c>
      <c r="AL4" s="16">
        <f t="shared" ref="AL4" si="14">COUNTA(AL5:AL103)</f>
        <v>0</v>
      </c>
      <c r="AM4" s="16">
        <f t="shared" ref="AM4" si="15">COUNTA(AM5:AM103)</f>
        <v>0</v>
      </c>
      <c r="AN4" s="16">
        <f t="shared" ref="AN4" si="16">COUNTA(AN5:AN103)</f>
        <v>0</v>
      </c>
      <c r="AO4" s="16">
        <f t="shared" ref="AO4" si="17">COUNTA(AO5:AO103)</f>
        <v>0</v>
      </c>
      <c r="AP4" s="16">
        <f t="shared" ref="AP4" si="18">COUNTA(AP5:AP103)</f>
        <v>0</v>
      </c>
      <c r="AQ4" s="16">
        <f t="shared" ref="AQ4" si="19">COUNTA(AQ5:AQ103)</f>
        <v>0</v>
      </c>
      <c r="AR4" s="16">
        <f t="shared" ref="AR4" si="20">COUNTA(AR5:AR103)</f>
        <v>0</v>
      </c>
      <c r="AS4" s="16">
        <f t="shared" ref="AS4" si="21">COUNTA(AS5:AS103)</f>
        <v>0</v>
      </c>
      <c r="AT4" s="16">
        <f t="shared" ref="AT4" si="22">COUNTA(AT5:AT103)</f>
        <v>9</v>
      </c>
      <c r="AU4" s="16">
        <f t="shared" ref="AU4" si="23">COUNTA(AU5:AU103)</f>
        <v>9</v>
      </c>
      <c r="AV4" s="16">
        <f t="shared" ref="AV4" si="24">COUNTA(AV5:AV103)</f>
        <v>9</v>
      </c>
      <c r="AW4" s="16">
        <f t="shared" ref="AW4" si="25">COUNTA(AW5:AW103)</f>
        <v>0</v>
      </c>
      <c r="AX4" s="16">
        <f t="shared" ref="AX4" si="26">COUNTA(AX5:AX103)</f>
        <v>0</v>
      </c>
      <c r="AY4" s="16">
        <f t="shared" ref="AY4" si="27">COUNTA(AY5:AY103)</f>
        <v>8</v>
      </c>
      <c r="AZ4" s="16">
        <f t="shared" ref="AZ4" si="28">COUNTA(AZ5:AZ103)</f>
        <v>8</v>
      </c>
      <c r="BA4" s="16">
        <f t="shared" ref="BA4" si="29">COUNTA(BA5:BA103)</f>
        <v>0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</row>
    <row r="5" spans="1:92" ht="51" x14ac:dyDescent="0.2">
      <c r="A5" s="41" t="s">
        <v>58</v>
      </c>
      <c r="B5" s="42" t="s">
        <v>198</v>
      </c>
      <c r="C5" s="39"/>
      <c r="D5" s="43">
        <f>COUNTA(H5:BA5)</f>
        <v>1</v>
      </c>
      <c r="E5" s="44"/>
      <c r="F5" s="44"/>
      <c r="G5" s="44"/>
      <c r="H5" s="44" t="s">
        <v>6</v>
      </c>
      <c r="I5" s="44"/>
      <c r="J5" s="14"/>
      <c r="K5" s="44"/>
      <c r="L5" s="4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92" ht="51" x14ac:dyDescent="0.2">
      <c r="A6" s="41" t="s">
        <v>59</v>
      </c>
      <c r="B6" s="42" t="s">
        <v>281</v>
      </c>
      <c r="C6" s="39"/>
      <c r="D6" s="43">
        <f t="shared" ref="D6:D69" si="30">COUNTA(H6:BA6)</f>
        <v>1</v>
      </c>
      <c r="E6" s="14"/>
      <c r="F6" s="44"/>
      <c r="G6" s="14"/>
      <c r="H6" s="14" t="s">
        <v>6</v>
      </c>
      <c r="I6" s="44"/>
      <c r="J6" s="14"/>
      <c r="K6" s="14"/>
      <c r="L6" s="14"/>
      <c r="M6" s="4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</row>
    <row r="7" spans="1:92" ht="51" x14ac:dyDescent="0.2">
      <c r="A7" s="41" t="s">
        <v>60</v>
      </c>
      <c r="B7" s="42" t="s">
        <v>199</v>
      </c>
      <c r="C7" s="39"/>
      <c r="D7" s="43">
        <f t="shared" si="30"/>
        <v>1</v>
      </c>
      <c r="E7" s="44"/>
      <c r="F7" s="14"/>
      <c r="G7" s="14"/>
      <c r="H7" s="14" t="s">
        <v>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</row>
    <row r="8" spans="1:92" ht="51" x14ac:dyDescent="0.2">
      <c r="A8" s="41" t="s">
        <v>61</v>
      </c>
      <c r="B8" s="42" t="s">
        <v>212</v>
      </c>
      <c r="C8" s="39"/>
      <c r="D8" s="43">
        <f t="shared" si="30"/>
        <v>1</v>
      </c>
      <c r="E8" s="14"/>
      <c r="F8" s="44"/>
      <c r="G8" s="14"/>
      <c r="H8" s="14" t="s">
        <v>6</v>
      </c>
      <c r="I8" s="14"/>
      <c r="J8" s="14"/>
      <c r="K8" s="14"/>
      <c r="L8" s="14"/>
      <c r="M8" s="14"/>
      <c r="N8" s="14"/>
      <c r="O8" s="14"/>
      <c r="P8" s="14"/>
      <c r="Q8" s="14"/>
      <c r="R8" s="13"/>
      <c r="S8" s="14"/>
      <c r="T8" s="14"/>
      <c r="U8" s="14"/>
      <c r="V8" s="14"/>
      <c r="W8" s="14"/>
      <c r="X8" s="14"/>
      <c r="Y8" s="14"/>
      <c r="Z8" s="14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</row>
    <row r="9" spans="1:92" ht="51" x14ac:dyDescent="0.2">
      <c r="A9" s="41" t="s">
        <v>62</v>
      </c>
      <c r="B9" s="42" t="s">
        <v>213</v>
      </c>
      <c r="C9" s="39"/>
      <c r="D9" s="43">
        <f t="shared" si="30"/>
        <v>1</v>
      </c>
      <c r="E9" s="14"/>
      <c r="F9" s="14"/>
      <c r="G9" s="44"/>
      <c r="H9" s="14" t="s">
        <v>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</row>
    <row r="10" spans="1:92" ht="51" x14ac:dyDescent="0.2">
      <c r="A10" s="41" t="s">
        <v>63</v>
      </c>
      <c r="B10" s="42" t="s">
        <v>201</v>
      </c>
      <c r="C10" s="39"/>
      <c r="D10" s="43">
        <f t="shared" si="30"/>
        <v>1</v>
      </c>
      <c r="E10" s="14"/>
      <c r="F10" s="14"/>
      <c r="G10" s="14"/>
      <c r="H10" s="44" t="s">
        <v>6</v>
      </c>
      <c r="I10" s="14"/>
      <c r="J10" s="14"/>
      <c r="K10" s="14"/>
      <c r="L10" s="14"/>
      <c r="M10" s="14"/>
      <c r="N10" s="14"/>
      <c r="O10" s="14"/>
      <c r="P10" s="14"/>
      <c r="Q10" s="14"/>
      <c r="R10" s="13"/>
      <c r="S10" s="14"/>
      <c r="T10" s="14"/>
      <c r="U10" s="14"/>
      <c r="V10" s="14"/>
      <c r="W10" s="14"/>
      <c r="X10" s="14"/>
      <c r="Y10" s="14"/>
      <c r="Z10" s="14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</row>
    <row r="11" spans="1:92" ht="38.25" x14ac:dyDescent="0.2">
      <c r="A11" s="6" t="s">
        <v>7</v>
      </c>
      <c r="B11" s="44" t="s">
        <v>200</v>
      </c>
      <c r="C11" s="39"/>
      <c r="D11" s="43">
        <f t="shared" si="30"/>
        <v>1</v>
      </c>
      <c r="E11" s="14" t="s">
        <v>6</v>
      </c>
      <c r="F11" s="14"/>
      <c r="G11" s="14"/>
      <c r="H11" s="14"/>
      <c r="I11" s="14" t="s">
        <v>6</v>
      </c>
      <c r="J11" s="4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</row>
    <row r="12" spans="1:92" ht="51" x14ac:dyDescent="0.2">
      <c r="A12" s="6" t="s">
        <v>64</v>
      </c>
      <c r="B12" s="44" t="s">
        <v>201</v>
      </c>
      <c r="C12" s="39"/>
      <c r="D12" s="43">
        <f t="shared" si="30"/>
        <v>1</v>
      </c>
      <c r="E12" s="14" t="s">
        <v>6</v>
      </c>
      <c r="F12" s="14"/>
      <c r="G12" s="14"/>
      <c r="H12" s="14"/>
      <c r="I12" s="44" t="s">
        <v>6</v>
      </c>
      <c r="J12" s="14"/>
      <c r="K12" s="44"/>
      <c r="L12" s="14"/>
      <c r="M12" s="14"/>
      <c r="N12" s="14"/>
      <c r="O12" s="14"/>
      <c r="P12" s="14"/>
      <c r="Q12" s="14"/>
      <c r="R12" s="13"/>
      <c r="S12" s="14"/>
      <c r="T12" s="14"/>
      <c r="U12" s="14"/>
      <c r="V12" s="14"/>
      <c r="W12" s="14"/>
      <c r="X12" s="14"/>
      <c r="Y12" s="14"/>
      <c r="Z12" s="14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</row>
    <row r="13" spans="1:92" ht="66.75" customHeight="1" x14ac:dyDescent="0.2">
      <c r="A13" s="6" t="s">
        <v>65</v>
      </c>
      <c r="B13" s="44" t="s">
        <v>202</v>
      </c>
      <c r="C13" s="39"/>
      <c r="D13" s="43">
        <f t="shared" si="30"/>
        <v>1</v>
      </c>
      <c r="E13" s="14" t="s">
        <v>6</v>
      </c>
      <c r="F13" s="14"/>
      <c r="G13" s="14"/>
      <c r="H13" s="14"/>
      <c r="I13" s="14" t="s">
        <v>6</v>
      </c>
      <c r="J13" s="14"/>
      <c r="K13" s="14"/>
      <c r="L13" s="4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</row>
    <row r="14" spans="1:92" ht="51" x14ac:dyDescent="0.2">
      <c r="A14" s="6" t="s">
        <v>66</v>
      </c>
      <c r="B14" s="44" t="s">
        <v>203</v>
      </c>
      <c r="C14" s="39"/>
      <c r="D14" s="43">
        <f t="shared" si="30"/>
        <v>1</v>
      </c>
      <c r="E14" s="14" t="s">
        <v>6</v>
      </c>
      <c r="F14" s="14"/>
      <c r="G14" s="14"/>
      <c r="H14" s="14"/>
      <c r="I14" s="14" t="s">
        <v>6</v>
      </c>
      <c r="J14" s="14"/>
      <c r="K14" s="14"/>
      <c r="L14" s="4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</row>
    <row r="15" spans="1:92" ht="51" x14ac:dyDescent="0.2">
      <c r="A15" s="6" t="s">
        <v>8</v>
      </c>
      <c r="B15" s="44" t="s">
        <v>204</v>
      </c>
      <c r="C15" s="39"/>
      <c r="D15" s="43">
        <f t="shared" si="30"/>
        <v>1</v>
      </c>
      <c r="E15" s="14" t="s">
        <v>6</v>
      </c>
      <c r="F15" s="14"/>
      <c r="G15" s="14"/>
      <c r="H15" s="14"/>
      <c r="I15" s="14" t="s">
        <v>6</v>
      </c>
      <c r="J15" s="14"/>
      <c r="K15" s="14"/>
      <c r="L15" s="4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</row>
    <row r="16" spans="1:92" ht="51" x14ac:dyDescent="0.2">
      <c r="A16" s="6" t="s">
        <v>9</v>
      </c>
      <c r="B16" s="44" t="s">
        <v>204</v>
      </c>
      <c r="C16" s="39"/>
      <c r="D16" s="43">
        <f t="shared" si="30"/>
        <v>1</v>
      </c>
      <c r="E16" s="14" t="s">
        <v>6</v>
      </c>
      <c r="F16" s="14"/>
      <c r="G16" s="14"/>
      <c r="H16" s="14"/>
      <c r="I16" s="14" t="s">
        <v>6</v>
      </c>
      <c r="J16" s="14"/>
      <c r="K16" s="14"/>
      <c r="L16" s="4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</row>
    <row r="17" spans="1:63" ht="59.25" customHeight="1" x14ac:dyDescent="0.2">
      <c r="A17" s="6" t="s">
        <v>10</v>
      </c>
      <c r="B17" s="44" t="s">
        <v>205</v>
      </c>
      <c r="C17" s="39"/>
      <c r="D17" s="43">
        <f t="shared" si="30"/>
        <v>0</v>
      </c>
      <c r="E17" s="14" t="s">
        <v>6</v>
      </c>
      <c r="F17" s="14" t="s">
        <v>6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</row>
    <row r="18" spans="1:63" ht="51" x14ac:dyDescent="0.2">
      <c r="A18" s="6" t="s">
        <v>67</v>
      </c>
      <c r="B18" s="44" t="s">
        <v>206</v>
      </c>
      <c r="C18" s="15"/>
      <c r="D18" s="43">
        <f t="shared" si="30"/>
        <v>0</v>
      </c>
      <c r="E18" s="14" t="s">
        <v>6</v>
      </c>
      <c r="F18" s="14" t="s">
        <v>6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</row>
    <row r="19" spans="1:63" ht="51" x14ac:dyDescent="0.2">
      <c r="A19" s="6" t="s">
        <v>68</v>
      </c>
      <c r="B19" s="35" t="s">
        <v>207</v>
      </c>
      <c r="C19" s="15"/>
      <c r="D19" s="43">
        <f t="shared" si="30"/>
        <v>0</v>
      </c>
      <c r="E19" s="14" t="s">
        <v>6</v>
      </c>
      <c r="F19" s="14" t="s">
        <v>6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</row>
    <row r="20" spans="1:63" ht="51" x14ac:dyDescent="0.2">
      <c r="A20" s="6" t="s">
        <v>69</v>
      </c>
      <c r="B20" s="18" t="s">
        <v>208</v>
      </c>
      <c r="C20" s="15"/>
      <c r="D20" s="43">
        <f t="shared" si="30"/>
        <v>0</v>
      </c>
      <c r="E20" s="14" t="s">
        <v>6</v>
      </c>
      <c r="F20" s="14" t="s">
        <v>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</row>
    <row r="21" spans="1:63" ht="51" x14ac:dyDescent="0.2">
      <c r="A21" s="6" t="s">
        <v>70</v>
      </c>
      <c r="B21" s="18" t="s">
        <v>209</v>
      </c>
      <c r="C21" s="15"/>
      <c r="D21" s="43">
        <f t="shared" si="30"/>
        <v>0</v>
      </c>
      <c r="E21" s="14" t="s">
        <v>6</v>
      </c>
      <c r="F21" s="14" t="s">
        <v>6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</row>
    <row r="22" spans="1:63" ht="51" x14ac:dyDescent="0.2">
      <c r="A22" s="6" t="s">
        <v>71</v>
      </c>
      <c r="B22" s="18" t="s">
        <v>210</v>
      </c>
      <c r="C22" s="15"/>
      <c r="D22" s="43">
        <f t="shared" si="30"/>
        <v>0</v>
      </c>
      <c r="E22" s="14" t="s">
        <v>6</v>
      </c>
      <c r="F22" s="14" t="s">
        <v>6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</row>
    <row r="23" spans="1:63" ht="38.25" x14ac:dyDescent="0.2">
      <c r="A23" s="6" t="s">
        <v>12</v>
      </c>
      <c r="B23" s="18" t="s">
        <v>211</v>
      </c>
      <c r="C23" s="15"/>
      <c r="D23" s="43">
        <f t="shared" si="30"/>
        <v>2</v>
      </c>
      <c r="E23" s="14" t="s">
        <v>6</v>
      </c>
      <c r="F23" s="14"/>
      <c r="G23" s="14"/>
      <c r="H23" s="14"/>
      <c r="I23" s="14"/>
      <c r="J23" s="14"/>
      <c r="K23" s="14"/>
      <c r="L23" s="14" t="s">
        <v>279</v>
      </c>
      <c r="M23" s="14" t="s">
        <v>6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</row>
    <row r="24" spans="1:63" ht="51" x14ac:dyDescent="0.2">
      <c r="A24" s="6" t="s">
        <v>72</v>
      </c>
      <c r="B24" s="18" t="s">
        <v>211</v>
      </c>
      <c r="C24" s="15"/>
      <c r="D24" s="43">
        <f t="shared" si="30"/>
        <v>2</v>
      </c>
      <c r="E24" s="14" t="s">
        <v>6</v>
      </c>
      <c r="F24" s="14"/>
      <c r="G24" s="14"/>
      <c r="H24" s="14"/>
      <c r="I24" s="14"/>
      <c r="J24" s="14"/>
      <c r="K24" s="14"/>
      <c r="L24" s="14" t="s">
        <v>279</v>
      </c>
      <c r="M24" s="14" t="s">
        <v>6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</row>
    <row r="25" spans="1:63" ht="38.25" x14ac:dyDescent="0.2">
      <c r="A25" s="6" t="s">
        <v>14</v>
      </c>
      <c r="B25" s="18" t="s">
        <v>212</v>
      </c>
      <c r="C25" s="15"/>
      <c r="D25" s="43">
        <f t="shared" si="30"/>
        <v>2</v>
      </c>
      <c r="E25" s="14" t="s">
        <v>6</v>
      </c>
      <c r="F25" s="14"/>
      <c r="G25" s="14"/>
      <c r="H25" s="14"/>
      <c r="I25" s="14"/>
      <c r="J25" s="14"/>
      <c r="K25" s="14"/>
      <c r="L25" s="14" t="s">
        <v>279</v>
      </c>
      <c r="M25" s="14" t="s">
        <v>6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</row>
    <row r="26" spans="1:63" ht="38.25" x14ac:dyDescent="0.2">
      <c r="A26" s="6" t="s">
        <v>73</v>
      </c>
      <c r="B26" s="18" t="s">
        <v>213</v>
      </c>
      <c r="C26" s="15"/>
      <c r="D26" s="43">
        <f t="shared" si="30"/>
        <v>2</v>
      </c>
      <c r="E26" s="14" t="s">
        <v>6</v>
      </c>
      <c r="F26" s="14"/>
      <c r="G26" s="14"/>
      <c r="H26" s="14"/>
      <c r="I26" s="14"/>
      <c r="J26" s="14"/>
      <c r="K26" s="14"/>
      <c r="L26" s="14" t="s">
        <v>279</v>
      </c>
      <c r="M26" s="14" t="s">
        <v>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  <row r="27" spans="1:63" ht="38.25" x14ac:dyDescent="0.2">
      <c r="A27" s="6" t="s">
        <v>74</v>
      </c>
      <c r="B27" s="14" t="s">
        <v>214</v>
      </c>
      <c r="C27" s="15"/>
      <c r="D27" s="43">
        <f t="shared" si="30"/>
        <v>1</v>
      </c>
      <c r="E27" s="14"/>
      <c r="F27" s="14"/>
      <c r="G27" s="14"/>
      <c r="H27" s="14"/>
      <c r="I27" s="14"/>
      <c r="J27" s="14"/>
      <c r="K27" s="14"/>
      <c r="L27" s="14"/>
      <c r="M27" s="14" t="s">
        <v>6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</row>
    <row r="28" spans="1:63" ht="51" x14ac:dyDescent="0.2">
      <c r="A28" s="6" t="s">
        <v>75</v>
      </c>
      <c r="B28" s="14" t="s">
        <v>215</v>
      </c>
      <c r="C28" s="15"/>
      <c r="D28" s="43">
        <f t="shared" si="30"/>
        <v>1</v>
      </c>
      <c r="E28" s="14" t="s">
        <v>6</v>
      </c>
      <c r="F28" s="14" t="s">
        <v>6</v>
      </c>
      <c r="G28" s="14"/>
      <c r="H28" s="14"/>
      <c r="I28" s="14"/>
      <c r="J28" s="14"/>
      <c r="K28" s="14"/>
      <c r="L28" s="14" t="s">
        <v>6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</row>
    <row r="29" spans="1:63" ht="51" x14ac:dyDescent="0.2">
      <c r="A29" s="6" t="s">
        <v>76</v>
      </c>
      <c r="B29" s="14" t="s">
        <v>206</v>
      </c>
      <c r="C29" s="15"/>
      <c r="D29" s="43">
        <f t="shared" si="30"/>
        <v>1</v>
      </c>
      <c r="E29" s="14" t="s">
        <v>6</v>
      </c>
      <c r="F29" s="14"/>
      <c r="G29" s="14"/>
      <c r="H29" s="14"/>
      <c r="I29" s="14"/>
      <c r="J29" s="14"/>
      <c r="K29" s="14"/>
      <c r="L29" s="14" t="s">
        <v>6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</row>
    <row r="30" spans="1:63" ht="51" x14ac:dyDescent="0.2">
      <c r="A30" s="6" t="s">
        <v>77</v>
      </c>
      <c r="B30" s="14" t="s">
        <v>216</v>
      </c>
      <c r="C30" s="15"/>
      <c r="D30" s="43">
        <f t="shared" si="30"/>
        <v>1</v>
      </c>
      <c r="E30" s="14" t="s">
        <v>6</v>
      </c>
      <c r="F30" s="14"/>
      <c r="G30" s="14"/>
      <c r="H30" s="14"/>
      <c r="I30" s="14"/>
      <c r="J30" s="14"/>
      <c r="K30" s="14"/>
      <c r="L30" s="14" t="s">
        <v>6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</row>
    <row r="31" spans="1:63" ht="51" x14ac:dyDescent="0.2">
      <c r="A31" s="6" t="s">
        <v>78</v>
      </c>
      <c r="B31" s="14" t="s">
        <v>217</v>
      </c>
      <c r="C31" s="15"/>
      <c r="D31" s="43">
        <f t="shared" si="30"/>
        <v>1</v>
      </c>
      <c r="E31" s="14" t="s">
        <v>6</v>
      </c>
      <c r="F31" s="14"/>
      <c r="G31" s="14"/>
      <c r="H31" s="14"/>
      <c r="I31" s="14"/>
      <c r="J31" s="14"/>
      <c r="K31" s="14"/>
      <c r="L31" s="14" t="s">
        <v>6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</row>
    <row r="32" spans="1:63" ht="51" x14ac:dyDescent="0.2">
      <c r="A32" s="6" t="s">
        <v>79</v>
      </c>
      <c r="B32" s="14" t="s">
        <v>218</v>
      </c>
      <c r="C32" s="15"/>
      <c r="D32" s="43">
        <f t="shared" si="30"/>
        <v>1</v>
      </c>
      <c r="E32" s="14" t="s">
        <v>6</v>
      </c>
      <c r="F32" s="14"/>
      <c r="G32" s="14"/>
      <c r="H32" s="14"/>
      <c r="I32" s="14"/>
      <c r="J32" s="14"/>
      <c r="K32" s="14"/>
      <c r="L32" s="14" t="s">
        <v>6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</row>
    <row r="33" spans="1:63" ht="12.75" x14ac:dyDescent="0.2">
      <c r="A33" s="6" t="s">
        <v>15</v>
      </c>
      <c r="B33" s="14"/>
      <c r="C33" s="15"/>
      <c r="D33" s="43">
        <f t="shared" si="30"/>
        <v>2</v>
      </c>
      <c r="E33" s="14"/>
      <c r="F33" s="14"/>
      <c r="G33" s="14"/>
      <c r="H33" s="14"/>
      <c r="I33" s="14"/>
      <c r="J33" s="18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9" t="s">
        <v>6</v>
      </c>
      <c r="AZ33" s="19" t="s">
        <v>6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</row>
    <row r="34" spans="1:63" ht="25.5" x14ac:dyDescent="0.2">
      <c r="A34" s="6" t="s">
        <v>16</v>
      </c>
      <c r="B34" s="14"/>
      <c r="C34" s="15"/>
      <c r="D34" s="43">
        <f t="shared" si="30"/>
        <v>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9" t="s">
        <v>6</v>
      </c>
      <c r="AZ34" s="19" t="s">
        <v>6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</row>
    <row r="35" spans="1:63" ht="25.5" x14ac:dyDescent="0.2">
      <c r="A35" s="6" t="s">
        <v>17</v>
      </c>
      <c r="B35" s="14"/>
      <c r="C35" s="15"/>
      <c r="D35" s="43">
        <f t="shared" si="30"/>
        <v>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9" t="s">
        <v>6</v>
      </c>
      <c r="AZ35" s="19" t="s">
        <v>279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</row>
    <row r="36" spans="1:63" ht="38.25" x14ac:dyDescent="0.2">
      <c r="A36" s="6" t="s">
        <v>18</v>
      </c>
      <c r="B36" s="14"/>
      <c r="C36" s="15"/>
      <c r="D36" s="43">
        <f t="shared" si="30"/>
        <v>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9" t="s">
        <v>6</v>
      </c>
      <c r="AZ36" s="19" t="s">
        <v>6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1:63" ht="25.5" x14ac:dyDescent="0.2">
      <c r="A37" s="6" t="s">
        <v>19</v>
      </c>
      <c r="B37" s="14"/>
      <c r="C37" s="15"/>
      <c r="D37" s="43">
        <f t="shared" si="30"/>
        <v>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9" t="s">
        <v>6</v>
      </c>
      <c r="AZ37" s="19" t="s">
        <v>6</v>
      </c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1:63" ht="25.5" x14ac:dyDescent="0.2">
      <c r="A38" s="6" t="s">
        <v>20</v>
      </c>
      <c r="B38" s="14"/>
      <c r="C38" s="15"/>
      <c r="D38" s="43">
        <f t="shared" si="30"/>
        <v>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9" t="s">
        <v>6</v>
      </c>
      <c r="AZ38" s="19" t="s">
        <v>6</v>
      </c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63" ht="25.5" x14ac:dyDescent="0.2">
      <c r="A39" s="6" t="s">
        <v>21</v>
      </c>
      <c r="B39" s="14"/>
      <c r="C39" s="15"/>
      <c r="D39" s="43">
        <f t="shared" si="30"/>
        <v>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9" t="s">
        <v>6</v>
      </c>
      <c r="AZ39" s="19" t="s">
        <v>6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1:63" ht="38.25" x14ac:dyDescent="0.2">
      <c r="A40" s="6" t="s">
        <v>22</v>
      </c>
      <c r="B40" s="14"/>
      <c r="C40" s="15"/>
      <c r="D40" s="43">
        <f t="shared" si="30"/>
        <v>2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9" t="s">
        <v>6</v>
      </c>
      <c r="AZ40" s="19" t="s">
        <v>6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1:63" ht="38.25" x14ac:dyDescent="0.2">
      <c r="A41" s="41" t="s">
        <v>80</v>
      </c>
      <c r="B41" s="14" t="s">
        <v>219</v>
      </c>
      <c r="C41" s="15"/>
      <c r="D41" s="43">
        <f t="shared" si="30"/>
        <v>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 t="s">
        <v>6</v>
      </c>
      <c r="R41" s="14"/>
      <c r="S41" s="14"/>
      <c r="T41" s="14"/>
      <c r="U41" s="14"/>
      <c r="V41" s="14"/>
      <c r="W41" s="14"/>
      <c r="X41" s="14"/>
      <c r="Y41" s="14"/>
      <c r="Z41" s="14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1:63" ht="51" x14ac:dyDescent="0.2">
      <c r="A42" s="41" t="s">
        <v>81</v>
      </c>
      <c r="B42" s="14" t="s">
        <v>220</v>
      </c>
      <c r="C42" s="15"/>
      <c r="D42" s="43">
        <f t="shared" si="30"/>
        <v>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 t="s">
        <v>6</v>
      </c>
      <c r="R42" s="14"/>
      <c r="S42" s="14"/>
      <c r="T42" s="14"/>
      <c r="U42" s="14"/>
      <c r="V42" s="14"/>
      <c r="W42" s="14"/>
      <c r="X42" s="14"/>
      <c r="Y42" s="14"/>
      <c r="Z42" s="14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1:63" ht="51" x14ac:dyDescent="0.2">
      <c r="A43" s="41" t="s">
        <v>82</v>
      </c>
      <c r="B43" s="18" t="s">
        <v>221</v>
      </c>
      <c r="C43" s="15"/>
      <c r="D43" s="43">
        <f t="shared" si="30"/>
        <v>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 t="s">
        <v>6</v>
      </c>
      <c r="R43" s="14"/>
      <c r="S43" s="14"/>
      <c r="T43" s="14"/>
      <c r="U43" s="14"/>
      <c r="V43" s="14"/>
      <c r="W43" s="14"/>
      <c r="X43" s="14"/>
      <c r="Y43" s="14"/>
      <c r="Z43" s="14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1:63" ht="51" x14ac:dyDescent="0.2">
      <c r="A44" s="41" t="s">
        <v>83</v>
      </c>
      <c r="B44" s="18" t="s">
        <v>222</v>
      </c>
      <c r="C44" s="15"/>
      <c r="D44" s="43">
        <f t="shared" si="30"/>
        <v>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 t="s">
        <v>6</v>
      </c>
      <c r="R44" s="14"/>
      <c r="S44" s="14"/>
      <c r="T44" s="14"/>
      <c r="U44" s="14"/>
      <c r="V44" s="14"/>
      <c r="W44" s="14"/>
      <c r="X44" s="14"/>
      <c r="Y44" s="14"/>
      <c r="Z44" s="14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1:63" ht="51" x14ac:dyDescent="0.2">
      <c r="A45" s="41" t="s">
        <v>84</v>
      </c>
      <c r="B45" s="18" t="s">
        <v>223</v>
      </c>
      <c r="C45" s="15"/>
      <c r="D45" s="43">
        <f t="shared" si="30"/>
        <v>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 t="s">
        <v>6</v>
      </c>
      <c r="R45" s="14"/>
      <c r="S45" s="14"/>
      <c r="T45" s="14"/>
      <c r="U45" s="14"/>
      <c r="V45" s="14"/>
      <c r="W45" s="14"/>
      <c r="X45" s="14"/>
      <c r="Y45" s="14"/>
      <c r="Z45" s="14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1:63" ht="51" x14ac:dyDescent="0.2">
      <c r="A46" s="41" t="s">
        <v>85</v>
      </c>
      <c r="B46" s="18" t="s">
        <v>224</v>
      </c>
      <c r="C46" s="15"/>
      <c r="D46" s="43">
        <f t="shared" si="30"/>
        <v>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 t="s">
        <v>6</v>
      </c>
      <c r="R46" s="14"/>
      <c r="S46" s="14"/>
      <c r="T46" s="14"/>
      <c r="U46" s="14"/>
      <c r="V46" s="14"/>
      <c r="W46" s="14"/>
      <c r="X46" s="14"/>
      <c r="Y46" s="14"/>
      <c r="Z46" s="14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1:63" ht="38.25" x14ac:dyDescent="0.2">
      <c r="A47" s="6" t="s">
        <v>86</v>
      </c>
      <c r="B47" s="18" t="s">
        <v>225</v>
      </c>
      <c r="C47" s="15"/>
      <c r="D47" s="43">
        <f t="shared" si="30"/>
        <v>1</v>
      </c>
      <c r="E47" s="14"/>
      <c r="F47" s="14"/>
      <c r="G47" s="14"/>
      <c r="H47" s="14"/>
      <c r="I47" s="14"/>
      <c r="J47" s="14"/>
      <c r="K47" s="14"/>
      <c r="L47" s="14"/>
      <c r="M47" s="14"/>
      <c r="N47" s="14" t="s">
        <v>6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1:63" ht="51" x14ac:dyDescent="0.2">
      <c r="A48" s="6" t="s">
        <v>87</v>
      </c>
      <c r="B48" s="18" t="s">
        <v>226</v>
      </c>
      <c r="C48" s="15"/>
      <c r="D48" s="43">
        <f t="shared" si="30"/>
        <v>1</v>
      </c>
      <c r="E48" s="14"/>
      <c r="F48" s="14"/>
      <c r="G48" s="14"/>
      <c r="H48" s="14"/>
      <c r="I48" s="14"/>
      <c r="J48" s="14"/>
      <c r="K48" s="14"/>
      <c r="L48" s="14"/>
      <c r="M48" s="14"/>
      <c r="N48" s="14" t="s">
        <v>280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1:63" ht="51" x14ac:dyDescent="0.2">
      <c r="A49" s="6" t="s">
        <v>88</v>
      </c>
      <c r="B49" s="18" t="s">
        <v>227</v>
      </c>
      <c r="C49" s="15"/>
      <c r="D49" s="43">
        <f t="shared" si="30"/>
        <v>1</v>
      </c>
      <c r="E49" s="14"/>
      <c r="F49" s="14"/>
      <c r="G49" s="14"/>
      <c r="H49" s="14"/>
      <c r="I49" s="14"/>
      <c r="J49" s="14"/>
      <c r="K49" s="14"/>
      <c r="L49" s="14"/>
      <c r="M49" s="14"/>
      <c r="N49" s="14" t="s">
        <v>6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1:63" ht="38.25" x14ac:dyDescent="0.2">
      <c r="A50" s="6" t="s">
        <v>89</v>
      </c>
      <c r="B50" s="18" t="s">
        <v>228</v>
      </c>
      <c r="C50" s="15"/>
      <c r="D50" s="43">
        <f t="shared" si="30"/>
        <v>1</v>
      </c>
      <c r="E50" s="14"/>
      <c r="F50" s="14"/>
      <c r="G50" s="14"/>
      <c r="H50" s="14"/>
      <c r="I50" s="14"/>
      <c r="J50" s="14"/>
      <c r="K50" s="14"/>
      <c r="L50" s="14"/>
      <c r="M50" s="14"/>
      <c r="N50" s="14" t="s">
        <v>6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1:63" ht="51" x14ac:dyDescent="0.2">
      <c r="A51" s="6" t="s">
        <v>90</v>
      </c>
      <c r="B51" s="18" t="s">
        <v>229</v>
      </c>
      <c r="C51" s="15"/>
      <c r="D51" s="43">
        <f t="shared" si="30"/>
        <v>1</v>
      </c>
      <c r="E51" s="14"/>
      <c r="F51" s="14"/>
      <c r="G51" s="14"/>
      <c r="H51" s="14"/>
      <c r="I51" s="14"/>
      <c r="J51" s="14"/>
      <c r="K51" s="14"/>
      <c r="L51" s="14"/>
      <c r="M51" s="14"/>
      <c r="N51" s="14" t="s">
        <v>6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1:63" ht="51" x14ac:dyDescent="0.2">
      <c r="A52" s="6" t="s">
        <v>91</v>
      </c>
      <c r="B52" s="18" t="s">
        <v>227</v>
      </c>
      <c r="C52" s="15"/>
      <c r="D52" s="43">
        <f t="shared" si="30"/>
        <v>1</v>
      </c>
      <c r="E52" s="14"/>
      <c r="F52" s="14"/>
      <c r="G52" s="14"/>
      <c r="H52" s="14"/>
      <c r="I52" s="14"/>
      <c r="J52" s="14"/>
      <c r="K52" s="14"/>
      <c r="L52" s="14"/>
      <c r="M52" s="14"/>
      <c r="N52" s="14" t="s">
        <v>6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51" x14ac:dyDescent="0.2">
      <c r="A53" s="6" t="s">
        <v>92</v>
      </c>
      <c r="B53" s="18" t="s">
        <v>230</v>
      </c>
      <c r="C53" s="15"/>
      <c r="D53" s="43">
        <f t="shared" si="30"/>
        <v>2</v>
      </c>
      <c r="E53" s="14"/>
      <c r="F53" s="14"/>
      <c r="G53" s="14"/>
      <c r="H53" s="14"/>
      <c r="I53" s="14"/>
      <c r="J53" s="14"/>
      <c r="K53" s="14"/>
      <c r="L53" s="14"/>
      <c r="M53" s="14"/>
      <c r="N53" s="14" t="s">
        <v>6</v>
      </c>
      <c r="O53" s="14" t="s">
        <v>279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63" ht="51" x14ac:dyDescent="0.2">
      <c r="A54" s="6" t="s">
        <v>93</v>
      </c>
      <c r="B54" s="18" t="s">
        <v>231</v>
      </c>
      <c r="C54" s="15"/>
      <c r="D54" s="43">
        <f t="shared" si="30"/>
        <v>2</v>
      </c>
      <c r="E54" s="14"/>
      <c r="F54" s="14"/>
      <c r="G54" s="14"/>
      <c r="H54" s="14"/>
      <c r="I54" s="14"/>
      <c r="J54" s="14"/>
      <c r="K54" s="14"/>
      <c r="L54" s="14"/>
      <c r="M54" s="14"/>
      <c r="N54" s="14" t="s">
        <v>6</v>
      </c>
      <c r="O54" s="14" t="s">
        <v>279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1:63" ht="38.25" x14ac:dyDescent="0.2">
      <c r="A55" s="6" t="s">
        <v>11</v>
      </c>
      <c r="B55" s="18" t="s">
        <v>232</v>
      </c>
      <c r="C55" s="15"/>
      <c r="D55" s="43">
        <f t="shared" si="30"/>
        <v>2</v>
      </c>
      <c r="E55" s="14"/>
      <c r="F55" s="14"/>
      <c r="G55" s="14"/>
      <c r="H55" s="14"/>
      <c r="I55" s="14"/>
      <c r="J55" s="14"/>
      <c r="K55" s="14"/>
      <c r="L55" s="14"/>
      <c r="M55" s="14"/>
      <c r="N55" s="14" t="s">
        <v>6</v>
      </c>
      <c r="O55" s="14" t="s">
        <v>279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1:63" ht="51" x14ac:dyDescent="0.2">
      <c r="A56" s="6" t="s">
        <v>94</v>
      </c>
      <c r="B56" s="18" t="s">
        <v>233</v>
      </c>
      <c r="C56" s="15"/>
      <c r="D56" s="43">
        <f t="shared" si="30"/>
        <v>2</v>
      </c>
      <c r="E56" s="14"/>
      <c r="F56" s="14"/>
      <c r="G56" s="14"/>
      <c r="H56" s="14"/>
      <c r="I56" s="14"/>
      <c r="J56" s="14"/>
      <c r="K56" s="14"/>
      <c r="L56" s="14"/>
      <c r="M56" s="14"/>
      <c r="N56" s="14" t="s">
        <v>6</v>
      </c>
      <c r="O56" s="14" t="s">
        <v>279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1:63" ht="51" x14ac:dyDescent="0.2">
      <c r="A57" s="6" t="s">
        <v>95</v>
      </c>
      <c r="B57" s="18" t="s">
        <v>235</v>
      </c>
      <c r="C57" s="15"/>
      <c r="D57" s="43">
        <f t="shared" si="30"/>
        <v>2</v>
      </c>
      <c r="E57" s="14"/>
      <c r="F57" s="14"/>
      <c r="G57" s="14"/>
      <c r="H57" s="14"/>
      <c r="I57" s="14"/>
      <c r="J57" s="14"/>
      <c r="K57" s="14"/>
      <c r="L57" s="14"/>
      <c r="M57" s="14"/>
      <c r="N57" s="14" t="s">
        <v>6</v>
      </c>
      <c r="O57" s="14" t="s">
        <v>279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1:63" ht="51" x14ac:dyDescent="0.2">
      <c r="A58" s="6" t="s">
        <v>96</v>
      </c>
      <c r="B58" s="18" t="s">
        <v>234</v>
      </c>
      <c r="C58" s="15"/>
      <c r="D58" s="43">
        <f t="shared" si="30"/>
        <v>2</v>
      </c>
      <c r="E58" s="14"/>
      <c r="F58" s="14"/>
      <c r="G58" s="14"/>
      <c r="H58" s="14"/>
      <c r="I58" s="14"/>
      <c r="J58" s="14"/>
      <c r="K58" s="14"/>
      <c r="L58" s="14"/>
      <c r="M58" s="14"/>
      <c r="N58" s="14" t="s">
        <v>6</v>
      </c>
      <c r="O58" s="14" t="s">
        <v>279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1:63" ht="38.25" x14ac:dyDescent="0.2">
      <c r="A59" s="6" t="s">
        <v>13</v>
      </c>
      <c r="B59" s="18" t="s">
        <v>236</v>
      </c>
      <c r="C59" s="15"/>
      <c r="D59" s="43">
        <f t="shared" si="30"/>
        <v>2</v>
      </c>
      <c r="E59" s="14"/>
      <c r="F59" s="14"/>
      <c r="G59" s="14"/>
      <c r="H59" s="14"/>
      <c r="I59" s="14"/>
      <c r="J59" s="14"/>
      <c r="K59" s="14"/>
      <c r="L59" s="14"/>
      <c r="M59" s="14"/>
      <c r="N59" s="14" t="s">
        <v>6</v>
      </c>
      <c r="O59" s="14"/>
      <c r="P59" s="14"/>
      <c r="Q59" s="14"/>
      <c r="R59" s="14"/>
      <c r="S59" s="14"/>
      <c r="T59" s="14"/>
      <c r="U59" s="14" t="s">
        <v>6</v>
      </c>
      <c r="V59" s="14"/>
      <c r="W59" s="14"/>
      <c r="X59" s="14"/>
      <c r="Y59" s="14"/>
      <c r="Z59" s="14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1:63" ht="38.25" x14ac:dyDescent="0.2">
      <c r="A60" s="6" t="s">
        <v>97</v>
      </c>
      <c r="B60" s="18" t="s">
        <v>237</v>
      </c>
      <c r="C60" s="15"/>
      <c r="D60" s="43">
        <f t="shared" si="30"/>
        <v>2</v>
      </c>
      <c r="E60" s="14"/>
      <c r="F60" s="14"/>
      <c r="G60" s="14"/>
      <c r="H60" s="14"/>
      <c r="I60" s="14"/>
      <c r="J60" s="14"/>
      <c r="K60" s="14"/>
      <c r="L60" s="14"/>
      <c r="M60" s="14"/>
      <c r="N60" s="14" t="s">
        <v>6</v>
      </c>
      <c r="O60" s="14"/>
      <c r="P60" s="14"/>
      <c r="Q60" s="14"/>
      <c r="R60" s="14"/>
      <c r="S60" s="14"/>
      <c r="T60" s="14"/>
      <c r="U60" s="14" t="s">
        <v>6</v>
      </c>
      <c r="V60" s="14"/>
      <c r="W60" s="14"/>
      <c r="X60" s="14"/>
      <c r="Y60" s="14"/>
      <c r="Z60" s="14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1:63" ht="51" x14ac:dyDescent="0.2">
      <c r="A61" s="6" t="s">
        <v>238</v>
      </c>
      <c r="B61" s="18" t="s">
        <v>239</v>
      </c>
      <c r="C61" s="15"/>
      <c r="D61" s="43">
        <f t="shared" si="30"/>
        <v>2</v>
      </c>
      <c r="E61" s="14"/>
      <c r="F61" s="14"/>
      <c r="G61" s="14"/>
      <c r="H61" s="14"/>
      <c r="I61" s="14"/>
      <c r="J61" s="14"/>
      <c r="K61" s="14"/>
      <c r="L61" s="14"/>
      <c r="M61" s="14"/>
      <c r="N61" s="14" t="s">
        <v>6</v>
      </c>
      <c r="O61" s="14"/>
      <c r="P61" s="14"/>
      <c r="Q61" s="14"/>
      <c r="R61" s="14"/>
      <c r="S61" s="14"/>
      <c r="T61" s="14"/>
      <c r="U61" s="14" t="s">
        <v>6</v>
      </c>
      <c r="V61" s="14"/>
      <c r="W61" s="14"/>
      <c r="X61" s="14"/>
      <c r="Y61" s="14"/>
      <c r="Z61" s="14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1:63" ht="38.25" x14ac:dyDescent="0.2">
      <c r="A62" s="6" t="s">
        <v>98</v>
      </c>
      <c r="B62" s="18" t="s">
        <v>240</v>
      </c>
      <c r="C62" s="15"/>
      <c r="D62" s="43">
        <f t="shared" si="30"/>
        <v>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 t="s">
        <v>6</v>
      </c>
      <c r="V62" s="14"/>
      <c r="W62" s="14"/>
      <c r="X62" s="14"/>
      <c r="Y62" s="14"/>
      <c r="Z62" s="14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1:63" ht="51" x14ac:dyDescent="0.2">
      <c r="A63" s="6" t="s">
        <v>99</v>
      </c>
      <c r="B63" s="18" t="s">
        <v>241</v>
      </c>
      <c r="C63" s="15"/>
      <c r="D63" s="43">
        <f t="shared" si="30"/>
        <v>3</v>
      </c>
      <c r="E63" s="14"/>
      <c r="F63" s="14"/>
      <c r="G63" s="14"/>
      <c r="H63" s="14"/>
      <c r="I63" s="14"/>
      <c r="J63" s="14"/>
      <c r="K63" s="14"/>
      <c r="L63" s="14"/>
      <c r="M63" s="14"/>
      <c r="N63" s="14" t="s">
        <v>6</v>
      </c>
      <c r="O63" s="14" t="s">
        <v>6</v>
      </c>
      <c r="P63" s="14"/>
      <c r="Q63" s="14"/>
      <c r="R63" s="14"/>
      <c r="S63" s="14"/>
      <c r="T63" s="14" t="s">
        <v>6</v>
      </c>
      <c r="U63" s="14"/>
      <c r="V63" s="14"/>
      <c r="W63" s="14"/>
      <c r="X63" s="14"/>
      <c r="Y63" s="14"/>
      <c r="Z63" s="14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1:63" ht="51" x14ac:dyDescent="0.2">
      <c r="A64" s="6" t="s">
        <v>100</v>
      </c>
      <c r="B64" s="18" t="s">
        <v>242</v>
      </c>
      <c r="C64" s="15"/>
      <c r="D64" s="43">
        <f t="shared" si="30"/>
        <v>3</v>
      </c>
      <c r="E64" s="14"/>
      <c r="F64" s="14"/>
      <c r="G64" s="14"/>
      <c r="H64" s="14"/>
      <c r="I64" s="14"/>
      <c r="J64" s="14"/>
      <c r="K64" s="14"/>
      <c r="L64" s="14"/>
      <c r="M64" s="14"/>
      <c r="N64" s="14" t="s">
        <v>6</v>
      </c>
      <c r="O64" s="14" t="s">
        <v>6</v>
      </c>
      <c r="P64" s="14"/>
      <c r="Q64" s="14"/>
      <c r="R64" s="14"/>
      <c r="S64" s="14"/>
      <c r="T64" s="14" t="s">
        <v>6</v>
      </c>
      <c r="U64" s="14"/>
      <c r="V64" s="14"/>
      <c r="W64" s="14"/>
      <c r="X64" s="14"/>
      <c r="Y64" s="14"/>
      <c r="Z64" s="14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1:63" ht="51" x14ac:dyDescent="0.2">
      <c r="A65" s="6" t="s">
        <v>101</v>
      </c>
      <c r="B65" s="18" t="s">
        <v>243</v>
      </c>
      <c r="C65" s="15"/>
      <c r="D65" s="43">
        <f t="shared" si="30"/>
        <v>2</v>
      </c>
      <c r="E65" s="14"/>
      <c r="F65" s="14"/>
      <c r="G65" s="14"/>
      <c r="H65" s="14"/>
      <c r="I65" s="14"/>
      <c r="J65" s="14"/>
      <c r="K65" s="14"/>
      <c r="L65" s="14"/>
      <c r="M65" s="14"/>
      <c r="N65" s="14" t="s">
        <v>6</v>
      </c>
      <c r="O65" s="14"/>
      <c r="P65" s="14"/>
      <c r="Q65" s="14"/>
      <c r="R65" s="14"/>
      <c r="S65" s="14"/>
      <c r="T65" s="14" t="s">
        <v>6</v>
      </c>
      <c r="U65" s="14"/>
      <c r="V65" s="14"/>
      <c r="W65" s="14"/>
      <c r="X65" s="14"/>
      <c r="Y65" s="14"/>
      <c r="Z65" s="14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1:63" ht="51" x14ac:dyDescent="0.2">
      <c r="A66" s="6" t="s">
        <v>102</v>
      </c>
      <c r="B66" s="18" t="s">
        <v>245</v>
      </c>
      <c r="C66" s="15"/>
      <c r="D66" s="43">
        <f t="shared" si="30"/>
        <v>2</v>
      </c>
      <c r="E66" s="14"/>
      <c r="F66" s="14"/>
      <c r="G66" s="14"/>
      <c r="H66" s="14"/>
      <c r="I66" s="14"/>
      <c r="J66" s="14"/>
      <c r="K66" s="14"/>
      <c r="L66" s="14"/>
      <c r="M66" s="14"/>
      <c r="N66" s="14" t="s">
        <v>6</v>
      </c>
      <c r="O66" s="14"/>
      <c r="P66" s="14"/>
      <c r="Q66" s="14"/>
      <c r="R66" s="14"/>
      <c r="S66" s="14"/>
      <c r="T66" s="14" t="s">
        <v>6</v>
      </c>
      <c r="U66" s="14"/>
      <c r="V66" s="14"/>
      <c r="W66" s="14"/>
      <c r="X66" s="14"/>
      <c r="Y66" s="14"/>
      <c r="Z66" s="14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1:63" ht="51" x14ac:dyDescent="0.2">
      <c r="A67" s="6" t="s">
        <v>103</v>
      </c>
      <c r="B67" s="18" t="s">
        <v>244</v>
      </c>
      <c r="C67" s="15"/>
      <c r="D67" s="43">
        <f t="shared" si="30"/>
        <v>2</v>
      </c>
      <c r="E67" s="14"/>
      <c r="F67" s="14"/>
      <c r="G67" s="14"/>
      <c r="H67" s="14"/>
      <c r="I67" s="14"/>
      <c r="J67" s="14"/>
      <c r="K67" s="14"/>
      <c r="L67" s="14"/>
      <c r="M67" s="14"/>
      <c r="N67" s="14" t="s">
        <v>6</v>
      </c>
      <c r="O67" s="14"/>
      <c r="P67" s="14"/>
      <c r="Q67" s="14"/>
      <c r="R67" s="14"/>
      <c r="S67" s="14"/>
      <c r="T67" s="14" t="s">
        <v>6</v>
      </c>
      <c r="U67" s="14"/>
      <c r="V67" s="14"/>
      <c r="W67" s="14"/>
      <c r="X67" s="14"/>
      <c r="Y67" s="14"/>
      <c r="Z67" s="14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1:63" ht="38.25" x14ac:dyDescent="0.2">
      <c r="A68" s="6" t="s">
        <v>104</v>
      </c>
      <c r="B68" s="19" t="s">
        <v>246</v>
      </c>
      <c r="C68" s="15"/>
      <c r="D68" s="43">
        <f t="shared" si="30"/>
        <v>2</v>
      </c>
      <c r="E68" s="14"/>
      <c r="F68" s="14"/>
      <c r="G68" s="14"/>
      <c r="H68" s="14"/>
      <c r="I68" s="14"/>
      <c r="J68" s="14"/>
      <c r="K68" s="14"/>
      <c r="L68" s="14"/>
      <c r="M68" s="14"/>
      <c r="N68" s="14" t="s">
        <v>6</v>
      </c>
      <c r="O68" s="14"/>
      <c r="P68" s="14"/>
      <c r="Q68" s="14"/>
      <c r="R68" s="14"/>
      <c r="S68" s="14"/>
      <c r="T68" s="14" t="s">
        <v>6</v>
      </c>
      <c r="U68" s="14"/>
      <c r="V68" s="14"/>
      <c r="W68" s="14"/>
      <c r="X68" s="14"/>
      <c r="Y68" s="14"/>
      <c r="Z68" s="14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38.25" x14ac:dyDescent="0.2">
      <c r="A69" s="5" t="s">
        <v>23</v>
      </c>
      <c r="B69" s="19" t="s">
        <v>247</v>
      </c>
      <c r="C69" s="15"/>
      <c r="D69" s="43">
        <f t="shared" si="30"/>
        <v>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3"/>
      <c r="AB69" s="13"/>
      <c r="AC69" s="13"/>
      <c r="AD69" s="13"/>
      <c r="AE69" s="13"/>
      <c r="AF69" s="13"/>
      <c r="AG69" s="13" t="s">
        <v>6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51" x14ac:dyDescent="0.2">
      <c r="A70" s="5" t="s">
        <v>24</v>
      </c>
      <c r="B70" s="18" t="s">
        <v>248</v>
      </c>
      <c r="C70" s="15"/>
      <c r="D70" s="43">
        <f t="shared" ref="D70:D103" si="31">COUNTA(H70:BA70)</f>
        <v>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38.25" x14ac:dyDescent="0.2">
      <c r="A71" s="5" t="s">
        <v>25</v>
      </c>
      <c r="B71" s="18" t="s">
        <v>249</v>
      </c>
      <c r="C71" s="15"/>
      <c r="D71" s="43">
        <f t="shared" si="31"/>
        <v>1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3"/>
      <c r="AB71" s="13"/>
      <c r="AC71" s="13"/>
      <c r="AD71" s="13"/>
      <c r="AE71" s="13"/>
      <c r="AF71" s="13"/>
      <c r="AG71" s="13" t="s">
        <v>6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38.25" x14ac:dyDescent="0.2">
      <c r="A72" s="5" t="s">
        <v>26</v>
      </c>
      <c r="B72" s="18" t="s">
        <v>247</v>
      </c>
      <c r="C72" s="15"/>
      <c r="D72" s="43">
        <f t="shared" si="31"/>
        <v>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3"/>
      <c r="AB72" s="13"/>
      <c r="AC72" s="13"/>
      <c r="AD72" s="13"/>
      <c r="AE72" s="13"/>
      <c r="AF72" s="13"/>
      <c r="AG72" s="13" t="s">
        <v>6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51" x14ac:dyDescent="0.2">
      <c r="A73" s="5" t="s">
        <v>27</v>
      </c>
      <c r="B73" s="18" t="s">
        <v>250</v>
      </c>
      <c r="C73" s="15"/>
      <c r="D73" s="43">
        <f t="shared" si="31"/>
        <v>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51" x14ac:dyDescent="0.2">
      <c r="A74" s="5" t="s">
        <v>28</v>
      </c>
      <c r="B74" s="18" t="s">
        <v>251</v>
      </c>
      <c r="C74" s="15"/>
      <c r="D74" s="43">
        <f t="shared" si="31"/>
        <v>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51" x14ac:dyDescent="0.2">
      <c r="A75" s="6" t="s">
        <v>29</v>
      </c>
      <c r="B75" s="18" t="s">
        <v>252</v>
      </c>
      <c r="C75" s="15"/>
      <c r="D75" s="43">
        <f t="shared" si="31"/>
        <v>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38.25" x14ac:dyDescent="0.2">
      <c r="A76" s="6" t="s">
        <v>30</v>
      </c>
      <c r="B76" s="18" t="s">
        <v>249</v>
      </c>
      <c r="C76" s="15"/>
      <c r="D76" s="43">
        <f t="shared" si="31"/>
        <v>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3"/>
      <c r="AB76" s="13"/>
      <c r="AC76" s="13"/>
      <c r="AD76" s="13"/>
      <c r="AE76" s="13"/>
      <c r="AF76" s="13"/>
      <c r="AG76" s="13" t="s">
        <v>6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38.25" x14ac:dyDescent="0.2">
      <c r="A77" s="6" t="s">
        <v>31</v>
      </c>
      <c r="B77" s="18" t="s">
        <v>253</v>
      </c>
      <c r="C77" s="15"/>
      <c r="D77" s="43">
        <f t="shared" si="31"/>
        <v>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3"/>
      <c r="AB77" s="13"/>
      <c r="AC77" s="13"/>
      <c r="AD77" s="13"/>
      <c r="AE77" s="13"/>
      <c r="AF77" s="13"/>
      <c r="AG77" s="13" t="s">
        <v>6</v>
      </c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51" x14ac:dyDescent="0.2">
      <c r="A78" s="6" t="s">
        <v>32</v>
      </c>
      <c r="B78" s="18" t="s">
        <v>254</v>
      </c>
      <c r="C78" s="15"/>
      <c r="D78" s="43">
        <f t="shared" si="31"/>
        <v>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1:63" ht="51" x14ac:dyDescent="0.2">
      <c r="A79" s="5" t="s">
        <v>33</v>
      </c>
      <c r="B79" s="18" t="s">
        <v>255</v>
      </c>
      <c r="C79" s="15"/>
      <c r="D79" s="43">
        <f t="shared" si="31"/>
        <v>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1:63" ht="51" x14ac:dyDescent="0.2">
      <c r="A80" s="5" t="s">
        <v>34</v>
      </c>
      <c r="B80" s="19" t="s">
        <v>257</v>
      </c>
      <c r="C80" s="15"/>
      <c r="D80" s="43">
        <f t="shared" si="31"/>
        <v>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1:63" ht="51" x14ac:dyDescent="0.2">
      <c r="A81" s="5" t="s">
        <v>35</v>
      </c>
      <c r="B81" s="18" t="s">
        <v>256</v>
      </c>
      <c r="C81" s="15"/>
      <c r="D81" s="43">
        <f t="shared" si="31"/>
        <v>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1:63" ht="51" x14ac:dyDescent="0.2">
      <c r="A82" s="5" t="s">
        <v>36</v>
      </c>
      <c r="B82" s="18" t="s">
        <v>258</v>
      </c>
      <c r="C82" s="15"/>
      <c r="D82" s="43">
        <f t="shared" si="31"/>
        <v>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25.5" x14ac:dyDescent="0.2">
      <c r="A83" s="5" t="s">
        <v>37</v>
      </c>
      <c r="B83" s="19" t="s">
        <v>260</v>
      </c>
      <c r="C83" s="15"/>
      <c r="D83" s="43">
        <f t="shared" si="31"/>
        <v>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 t="s">
        <v>6</v>
      </c>
      <c r="W83" s="14"/>
      <c r="X83" s="14"/>
      <c r="Y83" s="14"/>
      <c r="Z83" s="14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25.5" x14ac:dyDescent="0.2">
      <c r="A84" s="5" t="s">
        <v>38</v>
      </c>
      <c r="B84" s="18" t="s">
        <v>259</v>
      </c>
      <c r="C84" s="15"/>
      <c r="D84" s="43">
        <f t="shared" si="31"/>
        <v>1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 t="s">
        <v>6</v>
      </c>
      <c r="W84" s="14"/>
      <c r="X84" s="14"/>
      <c r="Y84" s="14"/>
      <c r="Z84" s="14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38.25" x14ac:dyDescent="0.2">
      <c r="A85" s="5" t="s">
        <v>39</v>
      </c>
      <c r="B85" s="18" t="s">
        <v>261</v>
      </c>
      <c r="C85" s="15"/>
      <c r="D85" s="43">
        <f t="shared" si="31"/>
        <v>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 t="s">
        <v>6</v>
      </c>
      <c r="W85" s="14"/>
      <c r="X85" s="14"/>
      <c r="Y85" s="14"/>
      <c r="Z85" s="14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38.25" x14ac:dyDescent="0.2">
      <c r="A86" s="5" t="s">
        <v>40</v>
      </c>
      <c r="B86" s="18" t="s">
        <v>262</v>
      </c>
      <c r="C86" s="15"/>
      <c r="D86" s="43">
        <f t="shared" si="31"/>
        <v>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 t="s">
        <v>6</v>
      </c>
      <c r="W86" s="14"/>
      <c r="X86" s="14"/>
      <c r="Y86" s="14"/>
      <c r="Z86" s="14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25.5" x14ac:dyDescent="0.2">
      <c r="A87" s="5" t="s">
        <v>41</v>
      </c>
      <c r="B87" s="18" t="s">
        <v>264</v>
      </c>
      <c r="C87" s="15"/>
      <c r="D87" s="43">
        <f t="shared" si="31"/>
        <v>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 t="s">
        <v>6</v>
      </c>
      <c r="W87" s="14"/>
      <c r="X87" s="14"/>
      <c r="Y87" s="14"/>
      <c r="Z87" s="14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25.5" x14ac:dyDescent="0.2">
      <c r="A88" s="5" t="s">
        <v>42</v>
      </c>
      <c r="B88" s="18" t="s">
        <v>263</v>
      </c>
      <c r="C88" s="15"/>
      <c r="D88" s="43">
        <f t="shared" si="31"/>
        <v>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 t="s">
        <v>6</v>
      </c>
      <c r="W88" s="14"/>
      <c r="X88" s="14"/>
      <c r="Y88" s="14"/>
      <c r="Z88" s="14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38.25" x14ac:dyDescent="0.2">
      <c r="A89" s="5" t="s">
        <v>43</v>
      </c>
      <c r="B89" s="18" t="s">
        <v>265</v>
      </c>
      <c r="C89" s="15"/>
      <c r="D89" s="43">
        <f t="shared" si="31"/>
        <v>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ht="38.25" x14ac:dyDescent="0.2">
      <c r="A90" s="5" t="s">
        <v>44</v>
      </c>
      <c r="B90" s="18" t="s">
        <v>266</v>
      </c>
      <c r="C90" s="15"/>
      <c r="D90" s="43">
        <f t="shared" si="31"/>
        <v>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ht="38.25" x14ac:dyDescent="0.2">
      <c r="A91" s="5" t="s">
        <v>45</v>
      </c>
      <c r="B91" s="14" t="s">
        <v>267</v>
      </c>
      <c r="C91" s="15"/>
      <c r="D91" s="43">
        <f t="shared" si="31"/>
        <v>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38.25" x14ac:dyDescent="0.2">
      <c r="A92" s="5" t="s">
        <v>46</v>
      </c>
      <c r="B92" s="14" t="s">
        <v>268</v>
      </c>
      <c r="C92" s="15"/>
      <c r="D92" s="43">
        <f t="shared" si="31"/>
        <v>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1:63" ht="38.25" x14ac:dyDescent="0.2">
      <c r="A93" s="5" t="s">
        <v>47</v>
      </c>
      <c r="B93" s="14" t="s">
        <v>269</v>
      </c>
      <c r="C93" s="15"/>
      <c r="D93" s="43">
        <f t="shared" si="31"/>
        <v>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1:63" ht="38.25" x14ac:dyDescent="0.2">
      <c r="A94" s="5" t="s">
        <v>48</v>
      </c>
      <c r="B94" s="14" t="s">
        <v>270</v>
      </c>
      <c r="C94" s="15"/>
      <c r="D94" s="43">
        <f t="shared" si="31"/>
        <v>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1:63" ht="25.5" x14ac:dyDescent="0.2">
      <c r="A95" s="7" t="s">
        <v>49</v>
      </c>
      <c r="B95" s="14" t="s">
        <v>273</v>
      </c>
      <c r="C95" s="15"/>
      <c r="D95" s="43">
        <f t="shared" si="31"/>
        <v>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3"/>
      <c r="AB95" s="13"/>
      <c r="AC95" s="13"/>
      <c r="AD95" s="13"/>
      <c r="AE95" s="13"/>
      <c r="AF95" s="13" t="s">
        <v>6</v>
      </c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 t="s">
        <v>6</v>
      </c>
      <c r="AU95" s="13" t="s">
        <v>6</v>
      </c>
      <c r="AV95" s="13" t="s">
        <v>6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1:63" ht="25.5" x14ac:dyDescent="0.2">
      <c r="A96" s="7" t="s">
        <v>50</v>
      </c>
      <c r="B96" s="14" t="s">
        <v>271</v>
      </c>
      <c r="C96" s="15"/>
      <c r="D96" s="43">
        <f t="shared" si="31"/>
        <v>4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3"/>
      <c r="AB96" s="13"/>
      <c r="AC96" s="13"/>
      <c r="AD96" s="13"/>
      <c r="AE96" s="13"/>
      <c r="AF96" s="13" t="s">
        <v>6</v>
      </c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 t="s">
        <v>6</v>
      </c>
      <c r="AU96" s="13" t="s">
        <v>6</v>
      </c>
      <c r="AV96" s="13" t="s">
        <v>6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1:63" ht="25.5" x14ac:dyDescent="0.2">
      <c r="A97" s="7" t="s">
        <v>51</v>
      </c>
      <c r="B97" s="14" t="s">
        <v>272</v>
      </c>
      <c r="C97" s="15"/>
      <c r="D97" s="43">
        <f t="shared" si="31"/>
        <v>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3" t="e">
        <f>+AQ97:AAA411</f>
        <v>#VALUE!</v>
      </c>
      <c r="AB97" s="13"/>
      <c r="AC97" s="13"/>
      <c r="AD97" s="13"/>
      <c r="AE97" s="13"/>
      <c r="AF97" s="13" t="s">
        <v>6</v>
      </c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 t="s">
        <v>6</v>
      </c>
      <c r="AU97" s="13" t="s">
        <v>6</v>
      </c>
      <c r="AV97" s="13" t="s">
        <v>6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1:63" ht="51" x14ac:dyDescent="0.2">
      <c r="A98" s="8" t="s">
        <v>52</v>
      </c>
      <c r="B98" s="14" t="s">
        <v>274</v>
      </c>
      <c r="C98" s="15"/>
      <c r="D98" s="43">
        <f t="shared" si="31"/>
        <v>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3"/>
      <c r="AB98" s="13"/>
      <c r="AC98" s="13"/>
      <c r="AD98" s="13"/>
      <c r="AE98" s="13"/>
      <c r="AF98" s="13"/>
      <c r="AG98" s="13"/>
      <c r="AH98" s="13"/>
      <c r="AI98" s="13" t="s">
        <v>6</v>
      </c>
      <c r="AJ98" s="13"/>
      <c r="AK98" s="13" t="s">
        <v>6</v>
      </c>
      <c r="AL98" s="13"/>
      <c r="AM98" s="13"/>
      <c r="AN98" s="13"/>
      <c r="AO98" s="13"/>
      <c r="AP98" s="13"/>
      <c r="AQ98" s="13"/>
      <c r="AR98" s="13"/>
      <c r="AS98" s="13"/>
      <c r="AT98" s="13" t="s">
        <v>6</v>
      </c>
      <c r="AU98" s="13" t="s">
        <v>6</v>
      </c>
      <c r="AV98" s="13" t="s">
        <v>6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1:63" ht="51" x14ac:dyDescent="0.2">
      <c r="A99" s="9" t="s">
        <v>53</v>
      </c>
      <c r="B99" s="14" t="s">
        <v>275</v>
      </c>
      <c r="C99" s="15"/>
      <c r="D99" s="43">
        <f t="shared" si="31"/>
        <v>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3"/>
      <c r="AB99" s="13"/>
      <c r="AC99" s="13"/>
      <c r="AD99" s="13"/>
      <c r="AE99" s="13"/>
      <c r="AF99" s="13"/>
      <c r="AG99" s="13"/>
      <c r="AH99" s="13"/>
      <c r="AI99" s="13" t="s">
        <v>6</v>
      </c>
      <c r="AJ99" s="13"/>
      <c r="AK99" s="13" t="s">
        <v>6</v>
      </c>
      <c r="AL99" s="13"/>
      <c r="AM99" s="13"/>
      <c r="AN99" s="13"/>
      <c r="AO99" s="13"/>
      <c r="AP99" s="13"/>
      <c r="AQ99" s="13"/>
      <c r="AR99" s="13"/>
      <c r="AS99" s="13"/>
      <c r="AT99" s="13" t="s">
        <v>6</v>
      </c>
      <c r="AU99" s="13" t="s">
        <v>6</v>
      </c>
      <c r="AV99" s="13" t="s">
        <v>6</v>
      </c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1:63" ht="25.5" x14ac:dyDescent="0.2">
      <c r="A100" s="8" t="s">
        <v>54</v>
      </c>
      <c r="B100" s="14" t="s">
        <v>276</v>
      </c>
      <c r="C100" s="15"/>
      <c r="D100" s="43">
        <f t="shared" si="31"/>
        <v>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3"/>
      <c r="AB100" s="13"/>
      <c r="AC100" s="13"/>
      <c r="AD100" s="13"/>
      <c r="AE100" s="13"/>
      <c r="AF100" s="13"/>
      <c r="AG100" s="13"/>
      <c r="AH100" s="13"/>
      <c r="AI100" s="13" t="s">
        <v>6</v>
      </c>
      <c r="AJ100" s="13"/>
      <c r="AK100" s="13" t="s">
        <v>6</v>
      </c>
      <c r="AL100" s="13"/>
      <c r="AM100" s="13"/>
      <c r="AN100" s="13"/>
      <c r="AO100" s="13"/>
      <c r="AP100" s="13"/>
      <c r="AQ100" s="13"/>
      <c r="AR100" s="13"/>
      <c r="AS100" s="13"/>
      <c r="AT100" s="13" t="s">
        <v>6</v>
      </c>
      <c r="AU100" s="13" t="s">
        <v>6</v>
      </c>
      <c r="AV100" s="13" t="s">
        <v>6</v>
      </c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1:63" ht="25.5" x14ac:dyDescent="0.2">
      <c r="A101" s="8" t="s">
        <v>55</v>
      </c>
      <c r="B101" s="14" t="s">
        <v>277</v>
      </c>
      <c r="C101" s="15"/>
      <c r="D101" s="43">
        <f t="shared" si="31"/>
        <v>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3"/>
      <c r="AB101" s="13"/>
      <c r="AC101" s="13"/>
      <c r="AD101" s="13"/>
      <c r="AE101" s="13"/>
      <c r="AF101" s="13"/>
      <c r="AG101" s="13"/>
      <c r="AH101" s="13"/>
      <c r="AI101" s="13" t="s">
        <v>6</v>
      </c>
      <c r="AJ101" s="13"/>
      <c r="AK101" s="13" t="s">
        <v>6</v>
      </c>
      <c r="AL101" s="13"/>
      <c r="AM101" s="13"/>
      <c r="AN101" s="13"/>
      <c r="AO101" s="13"/>
      <c r="AP101" s="13"/>
      <c r="AQ101" s="13"/>
      <c r="AR101" s="13"/>
      <c r="AS101" s="13"/>
      <c r="AT101" s="13" t="s">
        <v>6</v>
      </c>
      <c r="AU101" s="13" t="s">
        <v>6</v>
      </c>
      <c r="AV101" s="13" t="s">
        <v>6</v>
      </c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1:63" ht="38.25" x14ac:dyDescent="0.2">
      <c r="A102" s="8" t="s">
        <v>56</v>
      </c>
      <c r="B102" s="14" t="s">
        <v>278</v>
      </c>
      <c r="C102" s="15"/>
      <c r="D102" s="43">
        <f t="shared" si="31"/>
        <v>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3"/>
      <c r="AB102" s="13"/>
      <c r="AC102" s="13"/>
      <c r="AD102" s="13"/>
      <c r="AE102" s="13"/>
      <c r="AF102" s="13"/>
      <c r="AG102" s="13"/>
      <c r="AH102" s="13"/>
      <c r="AI102" s="13" t="s">
        <v>6</v>
      </c>
      <c r="AJ102" s="13"/>
      <c r="AK102" s="13" t="s">
        <v>6</v>
      </c>
      <c r="AL102" s="13"/>
      <c r="AM102" s="13"/>
      <c r="AN102" s="13"/>
      <c r="AO102" s="13"/>
      <c r="AP102" s="13"/>
      <c r="AQ102" s="13"/>
      <c r="AR102" s="13"/>
      <c r="AS102" s="13"/>
      <c r="AT102" s="13" t="s">
        <v>6</v>
      </c>
      <c r="AU102" s="13" t="s">
        <v>6</v>
      </c>
      <c r="AV102" s="13" t="s">
        <v>6</v>
      </c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1:63" ht="38.25" x14ac:dyDescent="0.2">
      <c r="A103" s="8" t="s">
        <v>57</v>
      </c>
      <c r="B103" s="14" t="s">
        <v>278</v>
      </c>
      <c r="C103" s="15"/>
      <c r="D103" s="43">
        <f t="shared" si="31"/>
        <v>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3"/>
      <c r="AB103" s="13"/>
      <c r="AC103" s="13"/>
      <c r="AD103" s="13"/>
      <c r="AE103" s="13"/>
      <c r="AF103" s="13"/>
      <c r="AG103" s="13"/>
      <c r="AH103" s="13"/>
      <c r="AI103" s="13" t="s">
        <v>6</v>
      </c>
      <c r="AJ103" s="13"/>
      <c r="AK103" s="13" t="s">
        <v>6</v>
      </c>
      <c r="AL103" s="13"/>
      <c r="AM103" s="13"/>
      <c r="AN103" s="13"/>
      <c r="AO103" s="13"/>
      <c r="AP103" s="13"/>
      <c r="AQ103" s="13"/>
      <c r="AR103" s="13"/>
      <c r="AS103" s="13"/>
      <c r="AT103" s="13" t="s">
        <v>6</v>
      </c>
      <c r="AU103" s="13" t="s">
        <v>6</v>
      </c>
      <c r="AV103" s="13" t="s">
        <v>6</v>
      </c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1:63" ht="12.75" x14ac:dyDescent="0.2">
      <c r="A104" s="24"/>
      <c r="B104" s="11"/>
      <c r="C104" s="25"/>
      <c r="D104" s="26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63" ht="12.75" x14ac:dyDescent="0.2">
      <c r="A105" s="4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63" ht="12.75" x14ac:dyDescent="0.2">
      <c r="A106" s="4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63" ht="12.75" x14ac:dyDescent="0.2">
      <c r="A107" s="4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63" ht="12.75" x14ac:dyDescent="0.2">
      <c r="A108" s="4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63" ht="12.75" x14ac:dyDescent="0.2">
      <c r="A109" s="4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63" ht="12.75" x14ac:dyDescent="0.2">
      <c r="A110" s="4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63" ht="12.75" x14ac:dyDescent="0.2">
      <c r="A111" s="4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63" ht="12.75" x14ac:dyDescent="0.2">
      <c r="A112" s="4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4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4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4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4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4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4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4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4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4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4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4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4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4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4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4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4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4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4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4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4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4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4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4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4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4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4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4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4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4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4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4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4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4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4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4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4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4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4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4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4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4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4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4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4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4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4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4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4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4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4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4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4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4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4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4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4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4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4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4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4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4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4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4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4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4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4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4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4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4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4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4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4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4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4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4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4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4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4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4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4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4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4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4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4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4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4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4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4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4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4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4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4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4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4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4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4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4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4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4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4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4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4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4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4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4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4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4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4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4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4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4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4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4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4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4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4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4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4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4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4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4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4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4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4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4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4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4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4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4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4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4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4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4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4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4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4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4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4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4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4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4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4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4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4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4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4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4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4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4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4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4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4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4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4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4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4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4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4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4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4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4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4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4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4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4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4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4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4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4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4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4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4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4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4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4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4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4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4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4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4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4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4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4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4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4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4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4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4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4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4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4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4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4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4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4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4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4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4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4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4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4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4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4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4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4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4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4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4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4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4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4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4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4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4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4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4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4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4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4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4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4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4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4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4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4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4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4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4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4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4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4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4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4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4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4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4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4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4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4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4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4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4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4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4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4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4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4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4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4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4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4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4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4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4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4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4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4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4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4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4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4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4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4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4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4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4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4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4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4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4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4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4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4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4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4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4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4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4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4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4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4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4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4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4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4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4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4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4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4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4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4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4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4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4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4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4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4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4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4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4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4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4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4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4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4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4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4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4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4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4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4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4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4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4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4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4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4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4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4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4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4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4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4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4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4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4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4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4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4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4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4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4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4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4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4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4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4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4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4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4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4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4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4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4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4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4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4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4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4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4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4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4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4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4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4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4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4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4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4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4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4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4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4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4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4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4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4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4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4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4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4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4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4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4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4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4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4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4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4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4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4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4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4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4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4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4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4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4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4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4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4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4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4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4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4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4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4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4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4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4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4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4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4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4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4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4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4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4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4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4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4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4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4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4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4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4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4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4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4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4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4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4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4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4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4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4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4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4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4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4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4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4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4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4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4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4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4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4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4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4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4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4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4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4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4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4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4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4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4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4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4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4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4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4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4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4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4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4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4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4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4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4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4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4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4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4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4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4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4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4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4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4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4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4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4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4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4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4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4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4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4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4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4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4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4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4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4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4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4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4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4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4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4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4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4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4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4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4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4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4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4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4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4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4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4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4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4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4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4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4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4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4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4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4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4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4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4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4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4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4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4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4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4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4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4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4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4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4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4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4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4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4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4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4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4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4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4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4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4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4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4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4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4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4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4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4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4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4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4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4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4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4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4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4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4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4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4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4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4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4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4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4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4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4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4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4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4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4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4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4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4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4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4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4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4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4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4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4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4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4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4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4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4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4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4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4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4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4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4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4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4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4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4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4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4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4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4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4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4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4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4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4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4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4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4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4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4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4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4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4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4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4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4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4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4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4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4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4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4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4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4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4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4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4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4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4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4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4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4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4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4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4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4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4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4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4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4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4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4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4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4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4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4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4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4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4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4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4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4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4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4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4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4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4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4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4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4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4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4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4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4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4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4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4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4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4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4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4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4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4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4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4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4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4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4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4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4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4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4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4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4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4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4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4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4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4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4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4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4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4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4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4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4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4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4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4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4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4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4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4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4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4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4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4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4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4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4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4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4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4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4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4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4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4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4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4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4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4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4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4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4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4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4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4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4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4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4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4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4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4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4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4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4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4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4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4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4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4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4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4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4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4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4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4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4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4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4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4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4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4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4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4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4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4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4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4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4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4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4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4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4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4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4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4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4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4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4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4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4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4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4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4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4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4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4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4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4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4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4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4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4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4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4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4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4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4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4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4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4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4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4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4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4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4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4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4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4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4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4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4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4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4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4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4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4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4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4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4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4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4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4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4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4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4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4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4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4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4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4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4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4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4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4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4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4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4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4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4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4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4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4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4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4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4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4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4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4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4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4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4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4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4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4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4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4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4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4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4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4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4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4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4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4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4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4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4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4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4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4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4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4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4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4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4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4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4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4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4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4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4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4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4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4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4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4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4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4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4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4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4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4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4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4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4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4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3">
    <mergeCell ref="A1:C2"/>
    <mergeCell ref="A3:A4"/>
    <mergeCell ref="B3:B4"/>
  </mergeCells>
  <conditionalFormatting sqref="A4:BA4 D1:D99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 стандартной МТТ с авт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</cp:lastModifiedBy>
  <dcterms:modified xsi:type="dcterms:W3CDTF">2024-02-21T16:55:49Z</dcterms:modified>
</cp:coreProperties>
</file>